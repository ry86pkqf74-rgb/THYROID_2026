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hort_Assembly" sheetId="2" state="visible" r:id="rId2"/>
    <sheet xmlns:r="http://schemas.openxmlformats.org/officeDocument/2006/relationships" name="02_Table1_Demographics" sheetId="3" state="visible" r:id="rId3"/>
    <sheet xmlns:r="http://schemas.openxmlformats.org/officeDocument/2006/relationships" name="03_Table2_Histology" sheetId="4" state="visible" r:id="rId4"/>
    <sheet xmlns:r="http://schemas.openxmlformats.org/officeDocument/2006/relationships" name="04_Table3_Procedure_OpContext" sheetId="5" state="visible" r:id="rId5"/>
    <sheet xmlns:r="http://schemas.openxmlformats.org/officeDocument/2006/relationships" name="05_Table4_Complications" sheetId="6" state="visible" r:id="rId6"/>
    <sheet xmlns:r="http://schemas.openxmlformats.org/officeDocument/2006/relationships" name="06_Era_Stratification" sheetId="7" state="visible" r:id="rId7"/>
    <sheet xmlns:r="http://schemas.openxmlformats.org/officeDocument/2006/relationships" name="07_Component_Coverage" sheetId="8" state="visible" r:id="rId8"/>
    <sheet xmlns:r="http://schemas.openxmlformats.org/officeDocument/2006/relationships" name="08_Race_Detail" sheetId="9" state="visible" r:id="rId9"/>
    <sheet xmlns:r="http://schemas.openxmlformats.org/officeDocument/2006/relationships" name="09_ASA_Detail" sheetId="10" state="visible" r:id="rId10"/>
    <sheet xmlns:r="http://schemas.openxmlformats.org/officeDocument/2006/relationships" name="10_Source_SQL" sheetId="11" state="visible" r:id="rId11"/>
    <sheet xmlns:r="http://schemas.openxmlformats.org/officeDocument/2006/relationships" name="11_Column_Inventory" sheetId="12" state="visible" r:id="rId12"/>
    <sheet xmlns:r="http://schemas.openxmlformats.org/officeDocument/2006/relationships" name="12_Reproducibil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305496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M038 v2 — Massive Goiter Descriptive Cohort: Data and Sources</t>
        </is>
      </c>
    </row>
    <row r="3">
      <c r="A3" s="2" t="inlineStr">
        <is>
          <t>Manuscript</t>
        </is>
      </c>
      <c r="B3" s="3" t="inlineStr">
        <is>
          <t>M038 v2 — A Composite-Definition Descriptive Cohort of 2,501 Patients (Emory University, 1999-2025)</t>
        </is>
      </c>
    </row>
    <row r="4">
      <c r="A4" s="2" t="inlineStr">
        <is>
          <t>Source draft</t>
        </is>
      </c>
      <c r="B4" s="3" t="inlineStr">
        <is>
          <t>manuscript_outputs/v1_0_20260501/M038_massive_goiter_DRAFT_v2_post_mig_252_253.md</t>
        </is>
      </c>
    </row>
    <row r="5">
      <c r="A5" s="2" t="inlineStr">
        <is>
          <t>Authors</t>
        </is>
      </c>
      <c r="B5" s="3" t="inlineStr">
        <is>
          <t>Glosser L, [Senior author], et al.</t>
        </is>
      </c>
    </row>
    <row r="6">
      <c r="A6" s="2" t="inlineStr">
        <is>
          <t>Target journal</t>
        </is>
      </c>
      <c r="B6" s="3" t="inlineStr">
        <is>
          <t>Surgery / Annals of Surgical Oncology / Thyroid (TBD)</t>
        </is>
      </c>
    </row>
    <row r="7">
      <c r="A7" s="2" t="inlineStr">
        <is>
          <t>Status</t>
        </is>
      </c>
      <c r="B7" s="3" t="inlineStr">
        <is>
          <t>Second draft v2 (post-audit, awaiting PI review)</t>
        </is>
      </c>
    </row>
    <row r="8">
      <c r="A8" s="2" t="inlineStr"/>
      <c r="B8" s="3" t="inlineStr"/>
    </row>
    <row r="9">
      <c r="A9" s="2" t="inlineStr">
        <is>
          <t>Database</t>
        </is>
      </c>
      <c r="B9" s="3" t="inlineStr">
        <is>
          <t>thyroid_canonical_publication_v1_0 (MotherDuck)</t>
        </is>
      </c>
    </row>
    <row r="10">
      <c r="A10" s="2" t="inlineStr">
        <is>
          <t>Release ID</t>
        </is>
      </c>
      <c r="B10" s="3" t="inlineStr">
        <is>
          <t>pub_v1_0_20260430</t>
        </is>
      </c>
    </row>
    <row r="11">
      <c r="A11" s="2" t="inlineStr">
        <is>
          <t>Cohort view</t>
        </is>
      </c>
      <c r="B11" s="3" t="inlineStr">
        <is>
          <t>manuscript_workspace.cohort_m038_massive_goiter_v1 (~117 columns post-mig_251)</t>
        </is>
      </c>
    </row>
    <row r="12">
      <c r="A12" s="2" t="inlineStr">
        <is>
          <t>Most-recent applied migration</t>
        </is>
      </c>
      <c r="B12" s="3" t="inlineStr">
        <is>
          <t>mig_253_surg_procedure_type_fill_20260501.sql</t>
        </is>
      </c>
    </row>
    <row r="13">
      <c r="A13" s="2" t="inlineStr">
        <is>
          <t>Migration signoff timestamp (UTC)</t>
        </is>
      </c>
      <c r="B13" s="3" t="inlineStr">
        <is>
          <t>2026-05-01 06:41:00</t>
        </is>
      </c>
    </row>
    <row r="14">
      <c r="A14" s="2" t="inlineStr"/>
      <c r="B14" s="3" t="inlineStr"/>
    </row>
    <row r="15">
      <c r="A15" s="2" t="inlineStr">
        <is>
          <t>Upstream fixes incorporated in v2</t>
        </is>
      </c>
      <c r="B15" s="3" t="inlineStr">
        <is>
          <t>mig_252 (comp_*_confirmed strict rollup repair) + mig_253 (surg_procedure_type fill)</t>
        </is>
      </c>
    </row>
    <row r="16">
      <c r="A16" s="2" t="inlineStr">
        <is>
          <t>mig_252 commit SHA</t>
        </is>
      </c>
      <c r="B16" s="3" t="inlineStr">
        <is>
          <t>32beb7b</t>
        </is>
      </c>
    </row>
    <row r="17">
      <c r="A17" s="2" t="inlineStr">
        <is>
          <t>mig_253 commit SHA</t>
        </is>
      </c>
      <c r="B17" s="3" t="inlineStr">
        <is>
          <t>0143539</t>
        </is>
      </c>
    </row>
    <row r="18">
      <c r="A18" s="2" t="inlineStr">
        <is>
          <t>M038 v2 draft commit SHA</t>
        </is>
      </c>
      <c r="B18" s="3" t="inlineStr">
        <is>
          <t>4b48107</t>
        </is>
      </c>
    </row>
    <row r="19">
      <c r="A19" s="2" t="inlineStr">
        <is>
          <t>v23 handoff amend commit SHA</t>
        </is>
      </c>
      <c r="B19" s="3" t="inlineStr">
        <is>
          <t>5125a87</t>
        </is>
      </c>
    </row>
    <row r="20">
      <c r="A20" s="2" t="inlineStr"/>
      <c r="B20" s="3" t="inlineStr"/>
    </row>
    <row r="21">
      <c r="A21" s="2" t="inlineStr">
        <is>
          <t>Workbook generated</t>
        </is>
      </c>
      <c r="B21" s="3" t="inlineStr">
        <is>
          <t>2026-05-01T12:23:13Z</t>
        </is>
      </c>
    </row>
    <row r="22">
      <c r="A22" s="2" t="inlineStr">
        <is>
          <t>Generation method</t>
        </is>
      </c>
      <c r="B22" s="3" t="inlineStr">
        <is>
          <t>openpyxl + live SQL re-derivation against MotherDuck</t>
        </is>
      </c>
    </row>
    <row r="23">
      <c r="A23" s="2" t="inlineStr">
        <is>
          <t>Audit doc (companion)</t>
        </is>
      </c>
      <c r="B23" s="3" t="inlineStr">
        <is>
          <t>M038_v2_DATA_VALIDITY_AUDIT_20260501.md</t>
        </is>
      </c>
    </row>
    <row r="24">
      <c r="A24" s="2" t="inlineStr">
        <is>
          <t>Point of contact</t>
        </is>
      </c>
      <c r="B24" s="3" t="inlineStr">
        <is>
          <t>logan.glosser@gmail.com / logan.glosser.eras@gmail.com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14" customWidth="1" min="5" max="5"/>
  </cols>
  <sheetData>
    <row r="1">
      <c r="A1" s="4" t="inlineStr">
        <is>
          <t>§3.1 cohort assembly — composite-flag composition and inclusion-exclusion check. is_massive = (gland_weight_final_g &gt;= 100) OR (ct_substernal_extension_any OR mri_substernal_any) OR (ct_tracheal_deviation_any OR ct_tracheal_narrowing_any OR ct_airway_compromise_any). NULLs coalesced to FALSE.</t>
        </is>
      </c>
    </row>
    <row r="3">
      <c r="A3" s="5" t="inlineStr">
        <is>
          <t>Component / overlap class</t>
        </is>
      </c>
      <c r="B3" s="5" t="inlineStr">
        <is>
          <t>n</t>
        </is>
      </c>
      <c r="C3" s="5" t="inlineStr">
        <is>
          <t>Pct of cohort (10,871)</t>
        </is>
      </c>
      <c r="D3" s="5" t="inlineStr">
        <is>
          <t>Pct of massive (2,501)</t>
        </is>
      </c>
      <c r="E3" s="5" t="inlineStr">
        <is>
          <t>Source query</t>
        </is>
      </c>
    </row>
    <row r="4">
      <c r="A4" s="6" t="inlineStr">
        <is>
          <t>N total cohort</t>
        </is>
      </c>
      <c r="B4" s="7" t="n">
        <v>10871</v>
      </c>
      <c r="C4" s="8" t="n">
        <v>1</v>
      </c>
      <c r="D4" s="9" t="n"/>
      <c r="E4" s="6" t="inlineStr">
        <is>
          <t>Q01_total</t>
        </is>
      </c>
    </row>
    <row r="5">
      <c r="A5" s="6" t="inlineStr">
        <is>
          <t>N massive (composite)</t>
        </is>
      </c>
      <c r="B5" s="7" t="n">
        <v>2501</v>
      </c>
      <c r="C5" s="8" t="n">
        <v>0.2300616318645939</v>
      </c>
      <c r="D5" s="8" t="n">
        <v>1</v>
      </c>
      <c r="E5" s="6" t="inlineStr">
        <is>
          <t>Q01_massive</t>
        </is>
      </c>
    </row>
    <row r="6">
      <c r="A6" s="6" t="inlineStr">
        <is>
          <t>Weight ≥100 g (any cause)</t>
        </is>
      </c>
      <c r="B6" s="7" t="n">
        <v>1429</v>
      </c>
      <c r="C6" s="8" t="n">
        <v>0.1314506485143961</v>
      </c>
      <c r="D6" s="8" t="n">
        <v>0.5713714514194322</v>
      </c>
      <c r="E6" s="6" t="inlineStr">
        <is>
          <t>Q01_weight</t>
        </is>
      </c>
    </row>
    <row r="7">
      <c r="A7" s="6" t="inlineStr">
        <is>
          <t>Substernal (CT or MRI, any cause)</t>
        </is>
      </c>
      <c r="B7" s="7" t="n">
        <v>1047</v>
      </c>
      <c r="C7" s="8" t="n">
        <v>0.09631128691012786</v>
      </c>
      <c r="D7" s="8" t="n">
        <v>0.4186325469812075</v>
      </c>
      <c r="E7" s="6" t="inlineStr">
        <is>
          <t>Q01_substernal</t>
        </is>
      </c>
    </row>
    <row r="8">
      <c r="A8" s="6" t="inlineStr">
        <is>
          <t>Airway compromise (CT, any cause)</t>
        </is>
      </c>
      <c r="B8" s="7" t="n">
        <v>1440</v>
      </c>
      <c r="C8" s="8" t="n">
        <v>0.1324625149480269</v>
      </c>
      <c r="D8" s="8" t="n">
        <v>0.5757696921231508</v>
      </c>
      <c r="E8" s="6" t="inlineStr">
        <is>
          <t>Q01_airway</t>
        </is>
      </c>
    </row>
    <row r="9">
      <c r="A9" s="6" t="inlineStr">
        <is>
          <t>Weight ∩ Substernal</t>
        </is>
      </c>
      <c r="B9" s="7" t="n">
        <v>404</v>
      </c>
      <c r="C9" s="8" t="n">
        <v>0.03716309447152976</v>
      </c>
      <c r="D9" s="8" t="n">
        <v>0.1615353858456617</v>
      </c>
      <c r="E9" s="6" t="inlineStr">
        <is>
          <t>Q01_w_s</t>
        </is>
      </c>
    </row>
    <row r="10">
      <c r="A10" s="6" t="inlineStr">
        <is>
          <t>Weight ∩ Airway</t>
        </is>
      </c>
      <c r="B10" s="7" t="n">
        <v>513</v>
      </c>
      <c r="C10" s="8" t="n">
        <v>0.04718977095023457</v>
      </c>
      <c r="D10" s="8" t="n">
        <v>0.2051179528188725</v>
      </c>
      <c r="E10" s="6" t="inlineStr">
        <is>
          <t>Q01_w_a</t>
        </is>
      </c>
    </row>
    <row r="11">
      <c r="A11" s="6" t="inlineStr">
        <is>
          <t>Substernal ∩ Airway</t>
        </is>
      </c>
      <c r="B11" s="7" t="n">
        <v>884</v>
      </c>
      <c r="C11" s="8" t="n">
        <v>0.08131726612087205</v>
      </c>
      <c r="D11" s="8" t="n">
        <v>0.3534586165533786</v>
      </c>
      <c r="E11" s="6" t="inlineStr">
        <is>
          <t>Q01_s_a</t>
        </is>
      </c>
    </row>
    <row r="12">
      <c r="A12" s="6" t="inlineStr">
        <is>
          <t>All three components</t>
        </is>
      </c>
      <c r="B12" s="7" t="n">
        <v>386</v>
      </c>
      <c r="C12" s="8" t="n">
        <v>0.03550731303467942</v>
      </c>
      <c r="D12" s="8" t="n">
        <v>0.1543382646941223</v>
      </c>
      <c r="E12" s="6" t="inlineStr">
        <is>
          <t>Q01_all_three</t>
        </is>
      </c>
    </row>
    <row r="13">
      <c r="A13" s="6" t="inlineStr">
        <is>
          <t>Weight only</t>
        </is>
      </c>
      <c r="B13" s="7" t="n">
        <v>898</v>
      </c>
      <c r="C13" s="8" t="n">
        <v>0.08260509612731119</v>
      </c>
      <c r="D13" s="8" t="n">
        <v>0.3590563774490204</v>
      </c>
      <c r="E13" s="6" t="inlineStr">
        <is>
          <t>Q01_w_only</t>
        </is>
      </c>
    </row>
    <row r="14">
      <c r="A14" s="6" t="inlineStr">
        <is>
          <t>Substernal only</t>
        </is>
      </c>
      <c r="B14" s="7" t="n">
        <v>145</v>
      </c>
      <c r="C14" s="8" t="n">
        <v>0.01333823935240548</v>
      </c>
      <c r="D14" s="8" t="n">
        <v>0.05797680927628948</v>
      </c>
      <c r="E14" s="6" t="inlineStr">
        <is>
          <t>Q01_s_only</t>
        </is>
      </c>
    </row>
    <row r="15">
      <c r="A15" s="6" t="inlineStr">
        <is>
          <t>Airway only</t>
        </is>
      </c>
      <c r="B15" s="7" t="n">
        <v>429</v>
      </c>
      <c r="C15" s="8" t="n">
        <v>0.03946279091159967</v>
      </c>
      <c r="D15" s="8" t="n">
        <v>0.171531387445022</v>
      </c>
      <c r="E15" s="6" t="inlineStr">
        <is>
          <t>Q01_a_only</t>
        </is>
      </c>
    </row>
    <row r="16">
      <c r="A16" s="6" t="inlineStr">
        <is>
          <t>Inclusion-exclusion sum check</t>
        </is>
      </c>
      <c r="B16" s="7" t="n">
        <v>2501</v>
      </c>
      <c r="C16" s="9" t="n"/>
      <c r="D16" s="9" t="n"/>
      <c r="E16" s="6" t="inlineStr">
        <is>
          <t>Q01_inclexcl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4" customWidth="1" min="4" max="4"/>
    <col width="14" customWidth="1" min="5" max="5"/>
    <col width="16" customWidth="1" min="6" max="6"/>
    <col width="18" customWidth="1" min="7" max="7"/>
    <col width="50" customWidth="1" min="8" max="8"/>
    <col width="14" customWidth="1" min="9" max="9"/>
  </cols>
  <sheetData>
    <row r="1">
      <c r="A1" s="4" t="inlineStr">
        <is>
          <t>§3.2 Table 1 — Demographics &amp; Baseline Characteristics. Whole-cohort denominators (massive 2,501; non-massive 8,370) unless noted in the 'Subset n' columns. Coverage notes flag rows with subset denominators below the whole-cohort n.</t>
        </is>
      </c>
    </row>
    <row r="3">
      <c r="A3" s="5" t="inlineStr">
        <is>
          <t>Characteristic</t>
        </is>
      </c>
      <c r="B3" s="5" t="inlineStr">
        <is>
          <t>Massive n</t>
        </is>
      </c>
      <c r="C3" s="5" t="inlineStr">
        <is>
          <t>Massive %</t>
        </is>
      </c>
      <c r="D3" s="5" t="inlineStr">
        <is>
          <t>Non-massive n</t>
        </is>
      </c>
      <c r="E3" s="5" t="inlineStr">
        <is>
          <t>Non-massive %</t>
        </is>
      </c>
      <c r="F3" s="5" t="inlineStr">
        <is>
          <t>Massive subset n</t>
        </is>
      </c>
      <c r="G3" s="5" t="inlineStr">
        <is>
          <t>Non-massive subset n</t>
        </is>
      </c>
      <c r="H3" s="5" t="inlineStr">
        <is>
          <t>Coverage note</t>
        </is>
      </c>
      <c r="I3" s="5" t="inlineStr">
        <is>
          <t>Source query</t>
        </is>
      </c>
    </row>
    <row r="4">
      <c r="A4" s="6" t="inlineStr">
        <is>
          <t>Age at surgery — mean (years)</t>
        </is>
      </c>
      <c r="B4" s="7" t="n">
        <v>55.35</v>
      </c>
      <c r="C4" s="9" t="n"/>
      <c r="D4" s="7" t="n">
        <v>50.47</v>
      </c>
      <c r="E4" s="9" t="n"/>
      <c r="F4" s="10" t="n"/>
      <c r="G4" s="10" t="n"/>
      <c r="H4" s="6" t="inlineStr"/>
      <c r="I4" s="6" t="inlineStr">
        <is>
          <t>Q02_age</t>
        </is>
      </c>
    </row>
    <row r="5">
      <c r="A5" s="6" t="inlineStr">
        <is>
          <t>Age at surgery — median (years)</t>
        </is>
      </c>
      <c r="B5" s="7" t="n">
        <v>56</v>
      </c>
      <c r="C5" s="9" t="n"/>
      <c r="D5" s="7" t="n">
        <v>50</v>
      </c>
      <c r="E5" s="9" t="n"/>
      <c r="F5" s="10" t="n"/>
      <c r="G5" s="10" t="n"/>
      <c r="H5" s="6" t="inlineStr"/>
      <c r="I5" s="6" t="inlineStr">
        <is>
          <t>Q02_age</t>
        </is>
      </c>
    </row>
    <row r="6">
      <c r="A6" s="6" t="inlineStr">
        <is>
          <t>Age at surgery — Q25 (years)</t>
        </is>
      </c>
      <c r="B6" s="7" t="n">
        <v>45</v>
      </c>
      <c r="C6" s="9" t="n"/>
      <c r="D6" s="7" t="n">
        <v>39</v>
      </c>
      <c r="E6" s="9" t="n"/>
      <c r="F6" s="10" t="n"/>
      <c r="G6" s="10" t="n"/>
      <c r="H6" s="6" t="inlineStr"/>
      <c r="I6" s="6" t="inlineStr">
        <is>
          <t>Q02_age</t>
        </is>
      </c>
    </row>
    <row r="7">
      <c r="A7" s="6" t="inlineStr">
        <is>
          <t>Age at surgery — Q75 (years)</t>
        </is>
      </c>
      <c r="B7" s="7" t="n">
        <v>66</v>
      </c>
      <c r="C7" s="9" t="n"/>
      <c r="D7" s="7" t="n">
        <v>62</v>
      </c>
      <c r="E7" s="9" t="n"/>
      <c r="F7" s="10" t="n"/>
      <c r="G7" s="10" t="n"/>
      <c r="H7" s="6" t="inlineStr"/>
      <c r="I7" s="6" t="inlineStr">
        <is>
          <t>Q02_age</t>
        </is>
      </c>
    </row>
    <row r="8">
      <c r="A8" s="6" t="inlineStr">
        <is>
          <t>Sex — Female</t>
        </is>
      </c>
      <c r="B8" s="7" t="n">
        <v>1771</v>
      </c>
      <c r="C8" s="8" t="n">
        <v>0.7081167532986805</v>
      </c>
      <c r="D8" s="7" t="n">
        <v>6688</v>
      </c>
      <c r="E8" s="8" t="n">
        <v>0.7990442054958184</v>
      </c>
      <c r="F8" s="10" t="n"/>
      <c r="G8" s="10" t="n"/>
      <c r="H8" s="6" t="inlineStr"/>
      <c r="I8" s="6" t="inlineStr">
        <is>
          <t>Q02_sex</t>
        </is>
      </c>
    </row>
    <row r="9">
      <c r="A9" s="6" t="inlineStr">
        <is>
          <t>Sex — Male</t>
        </is>
      </c>
      <c r="B9" s="7" t="n">
        <v>730</v>
      </c>
      <c r="C9" s="8" t="n">
        <v>0.2918832467013195</v>
      </c>
      <c r="D9" s="7" t="n">
        <v>1682</v>
      </c>
      <c r="E9" s="8" t="n">
        <v>0.2009557945041816</v>
      </c>
      <c r="F9" s="10" t="n"/>
      <c r="G9" s="10" t="n"/>
      <c r="H9" s="6" t="inlineStr"/>
      <c r="I9" s="6" t="inlineStr">
        <is>
          <t>Q02_sex</t>
        </is>
      </c>
    </row>
    <row r="10">
      <c r="A10" s="6" t="inlineStr">
        <is>
          <t>Race — Black or African American</t>
        </is>
      </c>
      <c r="B10" s="7" t="n">
        <v>1555</v>
      </c>
      <c r="C10" s="8" t="n">
        <v>0.6217512994802079</v>
      </c>
      <c r="D10" s="7" t="n">
        <v>2613</v>
      </c>
      <c r="E10" s="8" t="n">
        <v>0.3121863799283154</v>
      </c>
      <c r="F10" s="10" t="n"/>
      <c r="G10" s="10" t="n"/>
      <c r="H10" s="6" t="inlineStr"/>
      <c r="I10" s="6" t="inlineStr">
        <is>
          <t>Q02_race</t>
        </is>
      </c>
    </row>
    <row r="11">
      <c r="A11" s="6" t="inlineStr">
        <is>
          <t>Race — White</t>
        </is>
      </c>
      <c r="B11" s="7" t="n">
        <v>714</v>
      </c>
      <c r="C11" s="8" t="n">
        <v>0.2854858056777289</v>
      </c>
      <c r="D11" s="7" t="n">
        <v>4552</v>
      </c>
      <c r="E11" s="8" t="n">
        <v>0.543847072879331</v>
      </c>
      <c r="F11" s="10" t="n"/>
      <c r="G11" s="10" t="n"/>
      <c r="H11" s="6" t="inlineStr"/>
      <c r="I11" s="6" t="inlineStr">
        <is>
          <t>Q02_race</t>
        </is>
      </c>
    </row>
    <row r="12">
      <c r="A12" s="6" t="inlineStr">
        <is>
          <t>Race — Asian</t>
        </is>
      </c>
      <c r="B12" s="7" t="n">
        <v>57</v>
      </c>
      <c r="C12" s="8" t="n">
        <v>0.02279088364654138</v>
      </c>
      <c r="D12" s="7" t="n">
        <v>419</v>
      </c>
      <c r="E12" s="8" t="n">
        <v>0.05005973715651135</v>
      </c>
      <c r="F12" s="10" t="n"/>
      <c r="G12" s="10" t="n"/>
      <c r="H12" s="6" t="inlineStr"/>
      <c r="I12" s="6" t="inlineStr">
        <is>
          <t>Q02_race</t>
        </is>
      </c>
    </row>
    <row r="13">
      <c r="A13" s="6" t="inlineStr">
        <is>
          <t>Race — Other / AIAN / NH-PI / Hispanic</t>
        </is>
      </c>
      <c r="B13" s="7" t="n">
        <v>44</v>
      </c>
      <c r="C13" s="8" t="n">
        <v>0.01759296281487405</v>
      </c>
      <c r="D13" s="7" t="n">
        <v>187</v>
      </c>
      <c r="E13" s="8" t="n">
        <v>0.02234169653524492</v>
      </c>
      <c r="F13" s="10" t="n"/>
      <c r="G13" s="10" t="n"/>
      <c r="H13" s="6" t="inlineStr">
        <is>
          <t>Composite of Other(38/105), AIAN(4/35), NH-PI(1/26), Hispanic(1/21)</t>
        </is>
      </c>
      <c r="I13" s="6" t="inlineStr">
        <is>
          <t>Q02_race</t>
        </is>
      </c>
    </row>
    <row r="14">
      <c r="A14" s="6" t="inlineStr">
        <is>
          <t>Race — Unknown or Not Reported</t>
        </is>
      </c>
      <c r="B14" s="7" t="n">
        <v>130</v>
      </c>
      <c r="C14" s="8" t="n">
        <v>0.05197920831667333</v>
      </c>
      <c r="D14" s="7" t="n">
        <v>591</v>
      </c>
      <c r="E14" s="8" t="n">
        <v>0.07060931899641577</v>
      </c>
      <c r="F14" s="10" t="n"/>
      <c r="G14" s="10" t="n"/>
      <c r="H14" s="6" t="inlineStr">
        <is>
          <t>Excludes 1 NULL massive, 8 NULL non-massive (counted in NULL row)</t>
        </is>
      </c>
      <c r="I14" s="6" t="inlineStr">
        <is>
          <t>Q02_race</t>
        </is>
      </c>
    </row>
    <row r="15">
      <c r="A15" s="6" t="inlineStr">
        <is>
          <t>Race — NULL</t>
        </is>
      </c>
      <c r="B15" s="7" t="n">
        <v>1</v>
      </c>
      <c r="C15" s="8" t="n">
        <v>0.0003998400639744102</v>
      </c>
      <c r="D15" s="7" t="n">
        <v>8</v>
      </c>
      <c r="E15" s="8" t="n">
        <v>0.0009557945041816009</v>
      </c>
      <c r="F15" s="10" t="n"/>
      <c r="G15" s="10" t="n"/>
      <c r="H15" s="6" t="inlineStr"/>
      <c r="I15" s="6" t="inlineStr">
        <is>
          <t>Q02_race</t>
        </is>
      </c>
    </row>
    <row r="16">
      <c r="A16" s="6" t="inlineStr">
        <is>
          <t>BMI — mean (kg/m²)</t>
        </is>
      </c>
      <c r="B16" s="7" t="n">
        <v>33.46</v>
      </c>
      <c r="C16" s="9" t="n"/>
      <c r="D16" s="7" t="n">
        <v>29.75</v>
      </c>
      <c r="E16" s="9" t="n"/>
      <c r="F16" s="7" t="n">
        <v>417</v>
      </c>
      <c r="G16" s="7" t="n">
        <v>1668</v>
      </c>
      <c r="H16" s="6" t="inlineStr">
        <is>
          <t>Subset: bmi_combined non-NULL</t>
        </is>
      </c>
      <c r="I16" s="6" t="inlineStr">
        <is>
          <t>Q02_bmi</t>
        </is>
      </c>
    </row>
    <row r="17">
      <c r="A17" s="6" t="inlineStr">
        <is>
          <t>BMI — median (kg/m²)</t>
        </is>
      </c>
      <c r="B17" s="7" t="n">
        <v>32.1</v>
      </c>
      <c r="C17" s="9" t="n"/>
      <c r="D17" s="7" t="n">
        <v>28.5</v>
      </c>
      <c r="E17" s="9" t="n"/>
      <c r="F17" s="7" t="n">
        <v>417</v>
      </c>
      <c r="G17" s="7" t="n">
        <v>1668</v>
      </c>
      <c r="H17" s="6" t="inlineStr"/>
      <c r="I17" s="6" t="inlineStr">
        <is>
          <t>Q02_bmi</t>
        </is>
      </c>
    </row>
    <row r="18">
      <c r="A18" s="6" t="inlineStr">
        <is>
          <t>BMI — Q25 (kg/m²)</t>
        </is>
      </c>
      <c r="B18" s="7" t="n">
        <v>27.7</v>
      </c>
      <c r="C18" s="9" t="n"/>
      <c r="D18" s="7" t="n">
        <v>24.4</v>
      </c>
      <c r="E18" s="9" t="n"/>
      <c r="F18" s="7" t="n">
        <v>417</v>
      </c>
      <c r="G18" s="7" t="n">
        <v>1668</v>
      </c>
      <c r="H18" s="6" t="inlineStr"/>
      <c r="I18" s="6" t="inlineStr">
        <is>
          <t>Q02_bmi</t>
        </is>
      </c>
    </row>
    <row r="19">
      <c r="A19" s="6" t="inlineStr">
        <is>
          <t>BMI — Q75 (kg/m²)</t>
        </is>
      </c>
      <c r="B19" s="7" t="n">
        <v>37.5</v>
      </c>
      <c r="C19" s="9" t="n"/>
      <c r="D19" s="7" t="n">
        <v>33.6</v>
      </c>
      <c r="E19" s="9" t="n"/>
      <c r="F19" s="7" t="n">
        <v>417</v>
      </c>
      <c r="G19" s="7" t="n">
        <v>1668</v>
      </c>
      <c r="H19" s="6" t="inlineStr"/>
      <c r="I19" s="6" t="inlineStr">
        <is>
          <t>Q02_bmi</t>
        </is>
      </c>
    </row>
    <row r="20">
      <c r="A20" s="6" t="inlineStr">
        <is>
          <t>NLP — Hypertension</t>
        </is>
      </c>
      <c r="B20" s="7" t="n">
        <v>696</v>
      </c>
      <c r="C20" s="8" t="n">
        <v>0.2782886845261895</v>
      </c>
      <c r="D20" s="7" t="n">
        <v>1079</v>
      </c>
      <c r="E20" s="8" t="n">
        <v>0.1289127837514934</v>
      </c>
      <c r="F20" s="10" t="n"/>
      <c r="G20" s="10" t="n"/>
      <c r="H20" s="6" t="inlineStr">
        <is>
          <t>NLP-extracted from PMHx narrative</t>
        </is>
      </c>
      <c r="I20" s="6" t="inlineStr">
        <is>
          <t>Q02_pmhx</t>
        </is>
      </c>
    </row>
    <row r="21">
      <c r="A21" s="6" t="inlineStr">
        <is>
          <t>NLP — Diabetes mellitus</t>
        </is>
      </c>
      <c r="B21" s="7" t="n">
        <v>500</v>
      </c>
      <c r="C21" s="8" t="n">
        <v>0.1999200319872051</v>
      </c>
      <c r="D21" s="7" t="n">
        <v>966</v>
      </c>
      <c r="E21" s="8" t="n">
        <v>0.1154121863799283</v>
      </c>
      <c r="F21" s="10" t="n"/>
      <c r="G21" s="10" t="n"/>
      <c r="H21" s="6" t="inlineStr"/>
      <c r="I21" s="6" t="inlineStr">
        <is>
          <t>Q02_pmhx</t>
        </is>
      </c>
    </row>
    <row r="22">
      <c r="A22" s="6" t="inlineStr">
        <is>
          <t>NLP — Coronary artery disease</t>
        </is>
      </c>
      <c r="B22" s="7" t="n">
        <v>84</v>
      </c>
      <c r="C22" s="8" t="n">
        <v>0.03358656537385046</v>
      </c>
      <c r="D22" s="7" t="n">
        <v>140</v>
      </c>
      <c r="E22" s="8" t="n">
        <v>0.01672640382317802</v>
      </c>
      <c r="F22" s="10" t="n"/>
      <c r="G22" s="10" t="n"/>
      <c r="H22" s="6" t="inlineStr"/>
      <c r="I22" s="6" t="inlineStr">
        <is>
          <t>Q02_pmhx</t>
        </is>
      </c>
    </row>
    <row r="23">
      <c r="A23" s="6" t="inlineStr">
        <is>
          <t>NLP — Chronic kidney disease</t>
        </is>
      </c>
      <c r="B23" s="7" t="n">
        <v>85</v>
      </c>
      <c r="C23" s="8" t="n">
        <v>0.03398640543782487</v>
      </c>
      <c r="D23" s="7" t="n">
        <v>136</v>
      </c>
      <c r="E23" s="8" t="n">
        <v>0.01624850657108722</v>
      </c>
      <c r="F23" s="10" t="n"/>
      <c r="G23" s="10" t="n"/>
      <c r="H23" s="6" t="inlineStr"/>
      <c r="I23" s="6" t="inlineStr">
        <is>
          <t>Q02_pmhx</t>
        </is>
      </c>
    </row>
    <row r="24">
      <c r="A24" s="6" t="inlineStr">
        <is>
          <t>NLP — COPD</t>
        </is>
      </c>
      <c r="B24" s="7" t="n">
        <v>47</v>
      </c>
      <c r="C24" s="8" t="n">
        <v>0.01879248300679728</v>
      </c>
      <c r="D24" s="7" t="n">
        <v>60</v>
      </c>
      <c r="E24" s="8" t="n">
        <v>0.007168458781362007</v>
      </c>
      <c r="F24" s="10" t="n"/>
      <c r="G24" s="10" t="n"/>
      <c r="H24" s="6" t="inlineStr"/>
      <c r="I24" s="6" t="inlineStr">
        <is>
          <t>Q02_pmhx</t>
        </is>
      </c>
    </row>
    <row r="25">
      <c r="A25" s="6" t="inlineStr">
        <is>
          <t>NLP — Mean N comorbidities</t>
        </is>
      </c>
      <c r="B25" s="7" t="n">
        <v>2.78</v>
      </c>
      <c r="C25" s="9" t="n"/>
      <c r="D25" s="7" t="n">
        <v>2.38</v>
      </c>
      <c r="E25" s="9" t="n"/>
      <c r="F25" s="10" t="n"/>
      <c r="G25" s="10" t="n"/>
      <c r="H25" s="6" t="inlineStr">
        <is>
          <t>Mean of pmhx_nlp_n_comorbidities</t>
        </is>
      </c>
      <c r="I25" s="6" t="inlineStr">
        <is>
          <t>Q02_pmhx</t>
        </is>
      </c>
    </row>
    <row r="26">
      <c r="A26" s="6" t="inlineStr">
        <is>
          <t>Synoptic — Graves disease</t>
        </is>
      </c>
      <c r="B26" s="7" t="n">
        <v>108</v>
      </c>
      <c r="C26" s="8" t="n">
        <v>0.04318272690923631</v>
      </c>
      <c r="D26" s="7" t="n">
        <v>466</v>
      </c>
      <c r="E26" s="8" t="n">
        <v>0.05567502986857826</v>
      </c>
      <c r="F26" s="10" t="n"/>
      <c r="G26" s="10" t="n"/>
      <c r="H26" s="6" t="inlineStr">
        <is>
          <t>syn_graves</t>
        </is>
      </c>
      <c r="I26" s="6" t="inlineStr">
        <is>
          <t>Q02_thyhx</t>
        </is>
      </c>
    </row>
    <row r="27">
      <c r="A27" s="6" t="inlineStr">
        <is>
          <t>Synoptic — Hashimoto thyroiditis</t>
        </is>
      </c>
      <c r="B27" s="7" t="n">
        <v>39</v>
      </c>
      <c r="C27" s="8" t="n">
        <v>0.015593762495002</v>
      </c>
      <c r="D27" s="7" t="n">
        <v>209</v>
      </c>
      <c r="E27" s="8" t="n">
        <v>0.02497013142174433</v>
      </c>
      <c r="F27" s="10" t="n"/>
      <c r="G27" s="10" t="n"/>
      <c r="H27" s="6" t="inlineStr">
        <is>
          <t>syn_hashimoto</t>
        </is>
      </c>
      <c r="I27" s="6" t="inlineStr">
        <is>
          <t>Q02_thyhx</t>
        </is>
      </c>
    </row>
    <row r="28">
      <c r="A28" s="6" t="inlineStr">
        <is>
          <t>NLP — Prior thyroidectomy</t>
        </is>
      </c>
      <c r="B28" s="7" t="n">
        <v>209</v>
      </c>
      <c r="C28" s="8" t="n">
        <v>0.08356657337065174</v>
      </c>
      <c r="D28" s="7" t="n">
        <v>650</v>
      </c>
      <c r="E28" s="8" t="n">
        <v>0.07765830346475508</v>
      </c>
      <c r="F28" s="10" t="n"/>
      <c r="G28" s="10" t="n"/>
      <c r="H28" s="6" t="inlineStr">
        <is>
          <t>pshx_nlp_prior_thyroidectomy</t>
        </is>
      </c>
      <c r="I28" s="6" t="inlineStr">
        <is>
          <t>Q02_thyhx</t>
        </is>
      </c>
    </row>
    <row r="29">
      <c r="A29" s="6" t="inlineStr">
        <is>
          <t>NLP — Prior neck surgery</t>
        </is>
      </c>
      <c r="B29" s="7" t="n">
        <v>38</v>
      </c>
      <c r="C29" s="8" t="n">
        <v>0.01519392243102759</v>
      </c>
      <c r="D29" s="7" t="n">
        <v>102</v>
      </c>
      <c r="E29" s="8" t="n">
        <v>0.01218637992831541</v>
      </c>
      <c r="F29" s="10" t="n"/>
      <c r="G29" s="10" t="n"/>
      <c r="H29" s="6" t="inlineStr">
        <is>
          <t>pshx_nlp_prior_neck_surgery</t>
        </is>
      </c>
      <c r="I29" s="6" t="inlineStr">
        <is>
          <t>Q02_thyhx</t>
        </is>
      </c>
    </row>
    <row r="30">
      <c r="A30" s="6" t="inlineStr">
        <is>
          <t>ASA I — Normal/Healthy</t>
        </is>
      </c>
      <c r="B30" s="7" t="n">
        <v>6</v>
      </c>
      <c r="C30" s="8" t="n">
        <v>0.02439024390243903</v>
      </c>
      <c r="D30" s="7" t="n">
        <v>84</v>
      </c>
      <c r="E30" s="8" t="n">
        <v>0.07216494845360824</v>
      </c>
      <c r="F30" s="7" t="n">
        <v>246</v>
      </c>
      <c r="G30" s="7" t="n">
        <v>1164</v>
      </c>
      <c r="H30" s="6" t="inlineStr">
        <is>
          <t>Subset: NSQIP-linked</t>
        </is>
      </c>
      <c r="I30" s="6" t="inlineStr">
        <is>
          <t>Q02_asa</t>
        </is>
      </c>
    </row>
    <row r="31">
      <c r="A31" s="6" t="inlineStr">
        <is>
          <t>ASA II — Mild systemic disease</t>
        </is>
      </c>
      <c r="B31" s="7" t="n">
        <v>80</v>
      </c>
      <c r="C31" s="8" t="n">
        <v>0.3252032520325203</v>
      </c>
      <c r="D31" s="7" t="n">
        <v>583</v>
      </c>
      <c r="E31" s="8" t="n">
        <v>0.5008591065292096</v>
      </c>
      <c r="F31" s="7" t="n">
        <v>246</v>
      </c>
      <c r="G31" s="7" t="n">
        <v>1164</v>
      </c>
      <c r="H31" s="6" t="inlineStr"/>
      <c r="I31" s="6" t="inlineStr">
        <is>
          <t>Q02_asa</t>
        </is>
      </c>
    </row>
    <row r="32">
      <c r="A32" s="6" t="inlineStr">
        <is>
          <t>ASA III — Severe systemic disease</t>
        </is>
      </c>
      <c r="B32" s="7" t="n">
        <v>144</v>
      </c>
      <c r="C32" s="8" t="n">
        <v>0.5853658536585366</v>
      </c>
      <c r="D32" s="7" t="n">
        <v>473</v>
      </c>
      <c r="E32" s="8" t="n">
        <v>0.4063573883161512</v>
      </c>
      <c r="F32" s="7" t="n">
        <v>246</v>
      </c>
      <c r="G32" s="7" t="n">
        <v>1164</v>
      </c>
      <c r="H32" s="6" t="inlineStr"/>
      <c r="I32" s="6" t="inlineStr">
        <is>
          <t>Q02_asa</t>
        </is>
      </c>
    </row>
    <row r="33">
      <c r="A33" s="6" t="inlineStr">
        <is>
          <t>ASA IV — Severe systemic, threat to life</t>
        </is>
      </c>
      <c r="B33" s="7" t="n">
        <v>16</v>
      </c>
      <c r="C33" s="8" t="n">
        <v>0.06504065040650407</v>
      </c>
      <c r="D33" s="7" t="n">
        <v>24</v>
      </c>
      <c r="E33" s="8" t="n">
        <v>0.02061855670103093</v>
      </c>
      <c r="F33" s="7" t="n">
        <v>246</v>
      </c>
      <c r="G33" s="7" t="n">
        <v>1164</v>
      </c>
      <c r="H33" s="6" t="inlineStr"/>
      <c r="I33" s="6" t="inlineStr">
        <is>
          <t>Q02_asa</t>
        </is>
      </c>
    </row>
    <row r="34">
      <c r="A34" s="6" t="inlineStr">
        <is>
          <t>ASA III–IV proportion (narrative)</t>
        </is>
      </c>
      <c r="B34" s="7" t="n">
        <v>160</v>
      </c>
      <c r="C34" s="8" t="n">
        <v>0.6504065040650406</v>
      </c>
      <c r="D34" s="7" t="n">
        <v>497</v>
      </c>
      <c r="E34" s="8" t="n">
        <v>0.4269759450171821</v>
      </c>
      <c r="F34" s="7" t="n">
        <v>246</v>
      </c>
      <c r="G34" s="7" t="n">
        <v>1164</v>
      </c>
      <c r="H34" s="6" t="inlineStr">
        <is>
          <t>(III + IV) / NSQIP-linked</t>
        </is>
      </c>
      <c r="I34" s="6" t="inlineStr">
        <is>
          <t>Q02_asa</t>
        </is>
      </c>
    </row>
    <row r="35">
      <c r="A35" s="6" t="inlineStr">
        <is>
          <t>Era — 1999–2004</t>
        </is>
      </c>
      <c r="B35" s="7" t="n">
        <v>110</v>
      </c>
      <c r="C35" s="8" t="n">
        <v>0.04398240703718512</v>
      </c>
      <c r="D35" s="7" t="n">
        <v>793</v>
      </c>
      <c r="E35" s="8" t="n">
        <v>0.09474313022700119</v>
      </c>
      <c r="F35" s="10" t="n"/>
      <c r="G35" s="10" t="n"/>
      <c r="H35" s="6" t="inlineStr">
        <is>
          <t>Includes 2 pre-1999 dates (1945, 1993)</t>
        </is>
      </c>
      <c r="I35" s="6" t="inlineStr">
        <is>
          <t>Q02_era</t>
        </is>
      </c>
    </row>
    <row r="36">
      <c r="A36" s="6" t="inlineStr">
        <is>
          <t>Era — 2005–2009</t>
        </is>
      </c>
      <c r="B36" s="7" t="n">
        <v>142</v>
      </c>
      <c r="C36" s="8" t="n">
        <v>0.05677728908436625</v>
      </c>
      <c r="D36" s="7" t="n">
        <v>1049</v>
      </c>
      <c r="E36" s="8" t="n">
        <v>0.1253285543608124</v>
      </c>
      <c r="F36" s="10" t="n"/>
      <c r="G36" s="10" t="n"/>
      <c r="H36" s="6" t="inlineStr"/>
      <c r="I36" s="6" t="inlineStr">
        <is>
          <t>Q02_era</t>
        </is>
      </c>
    </row>
    <row r="37">
      <c r="A37" s="6" t="inlineStr">
        <is>
          <t>Era — 2010–2014</t>
        </is>
      </c>
      <c r="B37" s="7" t="n">
        <v>240</v>
      </c>
      <c r="C37" s="8" t="n">
        <v>0.09596161535385846</v>
      </c>
      <c r="D37" s="7" t="n">
        <v>1645</v>
      </c>
      <c r="E37" s="8" t="n">
        <v>0.1965352449223417</v>
      </c>
      <c r="F37" s="10" t="n"/>
      <c r="G37" s="10" t="n"/>
      <c r="H37" s="6" t="inlineStr"/>
      <c r="I37" s="6" t="inlineStr">
        <is>
          <t>Q02_era</t>
        </is>
      </c>
    </row>
    <row r="38">
      <c r="A38" s="6" t="inlineStr">
        <is>
          <t>Era — 2015–2019</t>
        </is>
      </c>
      <c r="B38" s="7" t="n">
        <v>731</v>
      </c>
      <c r="C38" s="8" t="n">
        <v>0.2922830867652939</v>
      </c>
      <c r="D38" s="7" t="n">
        <v>2204</v>
      </c>
      <c r="E38" s="8" t="n">
        <v>0.2633213859020311</v>
      </c>
      <c r="F38" s="10" t="n"/>
      <c r="G38" s="10" t="n"/>
      <c r="H38" s="6" t="inlineStr"/>
      <c r="I38" s="6" t="inlineStr">
        <is>
          <t>Q02_era</t>
        </is>
      </c>
    </row>
    <row r="39">
      <c r="A39" s="6" t="inlineStr">
        <is>
          <t>Era — 2020–2025</t>
        </is>
      </c>
      <c r="B39" s="7" t="n">
        <v>517</v>
      </c>
      <c r="C39" s="8" t="n">
        <v>0.2067173130747701</v>
      </c>
      <c r="D39" s="7" t="n">
        <v>1300</v>
      </c>
      <c r="E39" s="8" t="n">
        <v>0.1553166069295102</v>
      </c>
      <c r="F39" s="10" t="n"/>
      <c r="G39" s="10" t="n"/>
      <c r="H39" s="6" t="inlineStr"/>
      <c r="I39" s="6" t="inlineStr">
        <is>
          <t>Q02_era</t>
        </is>
      </c>
    </row>
    <row r="40">
      <c r="A40" s="6" t="inlineStr">
        <is>
          <t>Era — Surgical date unknown</t>
        </is>
      </c>
      <c r="B40" s="7" t="n">
        <v>761</v>
      </c>
      <c r="C40" s="8" t="n">
        <v>0.3042782886845262</v>
      </c>
      <c r="D40" s="7" t="n">
        <v>1379</v>
      </c>
      <c r="E40" s="8" t="n">
        <v>0.1647550776583035</v>
      </c>
      <c r="F40" s="10" t="n"/>
      <c r="G40" s="10" t="n"/>
      <c r="H40" s="6" t="inlineStr">
        <is>
          <t>surg_first_date IS NULL</t>
        </is>
      </c>
      <c r="I40" s="6" t="inlineStr">
        <is>
          <t>Q02_era</t>
        </is>
      </c>
    </row>
    <row r="41">
      <c r="A41" s="6" t="inlineStr">
        <is>
          <t>Pathology — Malignant histology</t>
        </is>
      </c>
      <c r="B41" s="7" t="n">
        <v>646</v>
      </c>
      <c r="C41" s="8" t="n">
        <v>0.258296681327469</v>
      </c>
      <c r="D41" s="7" t="n">
        <v>3491</v>
      </c>
      <c r="E41" s="8" t="n">
        <v>0.4170848267622461</v>
      </c>
      <c r="F41" s="10" t="n"/>
      <c r="G41" s="10" t="n"/>
      <c r="H41" s="6" t="inlineStr">
        <is>
          <t>is_malignant</t>
        </is>
      </c>
      <c r="I41" s="6" t="inlineStr">
        <is>
          <t>Q02_path</t>
        </is>
      </c>
    </row>
    <row r="42">
      <c r="A42" s="6" t="inlineStr">
        <is>
          <t>Pathology — Bilateral disease</t>
        </is>
      </c>
      <c r="B42" s="7" t="n">
        <v>749</v>
      </c>
      <c r="C42" s="8" t="n">
        <v>0.2994802079168333</v>
      </c>
      <c r="D42" s="7" t="n">
        <v>1393</v>
      </c>
      <c r="E42" s="8" t="n">
        <v>0.1664277180406213</v>
      </c>
      <c r="F42" s="10" t="n"/>
      <c r="G42" s="10" t="n"/>
      <c r="H42" s="6" t="inlineStr">
        <is>
          <t>bilateral_disease_flag</t>
        </is>
      </c>
      <c r="I42" s="6" t="inlineStr">
        <is>
          <t>Q02_path</t>
        </is>
      </c>
    </row>
    <row r="43">
      <c r="A43" s="6" t="inlineStr">
        <is>
          <t>Follow-up — Mean (years, all)</t>
        </is>
      </c>
      <c r="B43" s="7" t="n">
        <v>1.22</v>
      </c>
      <c r="C43" s="9" t="n"/>
      <c r="D43" s="7" t="n">
        <v>1.84</v>
      </c>
      <c r="E43" s="9" t="n"/>
      <c r="F43" s="10" t="n"/>
      <c r="G43" s="10" t="n"/>
      <c r="H43" s="6" t="inlineStr">
        <is>
          <t>AVG(followup_years)</t>
        </is>
      </c>
      <c r="I43" s="6" t="inlineStr">
        <is>
          <t>Q02_fu</t>
        </is>
      </c>
    </row>
    <row r="44">
      <c r="A44" s="6" t="inlineStr">
        <is>
          <t>Follow-up — Patients with FU&gt;0</t>
        </is>
      </c>
      <c r="B44" s="7" t="n">
        <v>997</v>
      </c>
      <c r="C44" s="8" t="n">
        <v>0.398640543782487</v>
      </c>
      <c r="D44" s="7" t="n">
        <v>3174</v>
      </c>
      <c r="E44" s="8" t="n">
        <v>0.3792114695340502</v>
      </c>
      <c r="F44" s="10" t="n"/>
      <c r="G44" s="10" t="n"/>
      <c r="H44" s="6" t="inlineStr"/>
      <c r="I44" s="6" t="inlineStr">
        <is>
          <t>Q02_fu</t>
        </is>
      </c>
    </row>
    <row r="45">
      <c r="A45" s="6" t="inlineStr">
        <is>
          <t>Follow-up — Mean (years, FU&gt;0 subset)</t>
        </is>
      </c>
      <c r="B45" s="7" t="n">
        <v>3.06</v>
      </c>
      <c r="C45" s="9" t="n"/>
      <c r="D45" s="7" t="n">
        <v>4.85</v>
      </c>
      <c r="E45" s="9" t="n"/>
      <c r="F45" s="7" t="n">
        <v>997</v>
      </c>
      <c r="G45" s="7" t="n">
        <v>3174</v>
      </c>
      <c r="H45" s="6" t="inlineStr"/>
      <c r="I45" s="6" t="inlineStr">
        <is>
          <t>Q02_fu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  <col width="14" customWidth="1" min="3" max="3"/>
    <col width="14" customWidth="1" min="4" max="4"/>
  </cols>
  <sheetData>
    <row r="1">
      <c r="A1" s="4" t="inlineStr">
        <is>
          <t>§3.3 Table 2 — Histology distribution within the malignant subset of the massive arm (n=646). Cross-reference: M032 broader malignant cohort (n=4,022; PTC 80.9%).</t>
        </is>
      </c>
    </row>
    <row r="3">
      <c r="A3" s="5" t="inlineStr">
        <is>
          <t>Histology (massive ∩ malignant)</t>
        </is>
      </c>
      <c r="B3" s="5" t="inlineStr">
        <is>
          <t>n</t>
        </is>
      </c>
      <c r="C3" s="5" t="inlineStr">
        <is>
          <t>% of 646</t>
        </is>
      </c>
      <c r="D3" s="5" t="inlineStr">
        <is>
          <t>Source query</t>
        </is>
      </c>
    </row>
    <row r="4">
      <c r="A4" s="6" t="inlineStr">
        <is>
          <t>PTC</t>
        </is>
      </c>
      <c r="B4" s="7" t="n">
        <v>417</v>
      </c>
      <c r="C4" s="8" t="n">
        <v>0.6455108359133127</v>
      </c>
      <c r="D4" s="6" t="inlineStr">
        <is>
          <t>Q03_histology</t>
        </is>
      </c>
    </row>
    <row r="5">
      <c r="A5" s="6" t="inlineStr">
        <is>
          <t>Follicular carcinoma</t>
        </is>
      </c>
      <c r="B5" s="7" t="n">
        <v>97</v>
      </c>
      <c r="C5" s="8" t="n">
        <v>0.1501547987616099</v>
      </c>
      <c r="D5" s="6" t="inlineStr">
        <is>
          <t>Q03_histology</t>
        </is>
      </c>
    </row>
    <row r="6">
      <c r="A6" s="6" t="inlineStr">
        <is>
          <t>MTC (medullary)</t>
        </is>
      </c>
      <c r="B6" s="7" t="n">
        <v>32</v>
      </c>
      <c r="C6" s="8" t="n">
        <v>0.04953560371517028</v>
      </c>
      <c r="D6" s="6" t="inlineStr">
        <is>
          <t>Q03_histology</t>
        </is>
      </c>
    </row>
    <row r="7">
      <c r="A7" s="6" t="inlineStr">
        <is>
          <t>NIFTP</t>
        </is>
      </c>
      <c r="B7" s="7" t="n">
        <v>25</v>
      </c>
      <c r="C7" s="8" t="n">
        <v>0.03869969040247678</v>
      </c>
      <c r="D7" s="6" t="inlineStr">
        <is>
          <t>Q03_histology</t>
        </is>
      </c>
    </row>
    <row r="8">
      <c r="A8" s="6" t="inlineStr">
        <is>
          <t>Poorly differentiated thyroid carcinoma</t>
        </is>
      </c>
      <c r="B8" s="7" t="n">
        <v>22</v>
      </c>
      <c r="C8" s="8" t="n">
        <v>0.03405572755417956</v>
      </c>
      <c r="D8" s="6" t="inlineStr">
        <is>
          <t>Q03_histology</t>
        </is>
      </c>
    </row>
    <row r="9">
      <c r="A9" s="6" t="inlineStr">
        <is>
          <t>Anaplastic carcinoma</t>
        </is>
      </c>
      <c r="B9" s="7" t="n">
        <v>13</v>
      </c>
      <c r="C9" s="8" t="n">
        <v>0.02012383900928793</v>
      </c>
      <c r="D9" s="6" t="inlineStr">
        <is>
          <t>Q03_histology</t>
        </is>
      </c>
    </row>
    <row r="10">
      <c r="A10" s="6" t="inlineStr">
        <is>
          <t>Metastatic PTC</t>
        </is>
      </c>
      <c r="B10" s="7" t="n">
        <v>10</v>
      </c>
      <c r="C10" s="8" t="n">
        <v>0.01547987616099071</v>
      </c>
      <c r="D10" s="6" t="inlineStr">
        <is>
          <t>Q03_histology</t>
        </is>
      </c>
    </row>
    <row r="11">
      <c r="A11" s="6" t="inlineStr">
        <is>
          <t>FTUMP</t>
        </is>
      </c>
      <c r="B11" s="7" t="n">
        <v>9</v>
      </c>
      <c r="C11" s="8" t="n">
        <v>0.01393188854489164</v>
      </c>
      <c r="D11" s="6" t="inlineStr">
        <is>
          <t>Q03_histology</t>
        </is>
      </c>
    </row>
    <row r="12">
      <c r="A12" s="6" t="inlineStr">
        <is>
          <t>Differentiated high-grade thyroid carcinoma</t>
        </is>
      </c>
      <c r="B12" s="7" t="n">
        <v>6</v>
      </c>
      <c r="C12" s="8" t="n">
        <v>0.009287925696594427</v>
      </c>
      <c r="D12" s="6" t="inlineStr">
        <is>
          <t>Q03_histology</t>
        </is>
      </c>
    </row>
    <row r="13">
      <c r="A13" s="6" t="inlineStr">
        <is>
          <t>Metastatic PTC tall cell variant</t>
        </is>
      </c>
      <c r="B13" s="7" t="n">
        <v>4</v>
      </c>
      <c r="C13" s="8" t="n">
        <v>0.006191950464396285</v>
      </c>
      <c r="D13" s="6" t="inlineStr">
        <is>
          <t>Q03_histology</t>
        </is>
      </c>
    </row>
    <row r="14">
      <c r="A14" s="6" t="inlineStr">
        <is>
          <t>Metastatic thyroid carcinoma</t>
        </is>
      </c>
      <c r="B14" s="7" t="n">
        <v>1</v>
      </c>
      <c r="C14" s="8" t="n">
        <v>0.001547987616099071</v>
      </c>
      <c r="D14" s="6" t="inlineStr">
        <is>
          <t>Q03_histology</t>
        </is>
      </c>
    </row>
    <row r="15">
      <c r="A15" s="6" t="inlineStr">
        <is>
          <t>Metastatic PTC/anaplastic carcinoma</t>
        </is>
      </c>
      <c r="B15" s="7" t="n">
        <v>1</v>
      </c>
      <c r="C15" s="8" t="n">
        <v>0.001547987616099071</v>
      </c>
      <c r="D15" s="6" t="inlineStr">
        <is>
          <t>Q03_histology</t>
        </is>
      </c>
    </row>
    <row r="16">
      <c r="A16" s="6" t="inlineStr">
        <is>
          <t>Recurrent/metastatic PTC</t>
        </is>
      </c>
      <c r="B16" s="7" t="n">
        <v>1</v>
      </c>
      <c r="C16" s="8" t="n">
        <v>0.001547987616099071</v>
      </c>
      <c r="D16" s="6" t="inlineStr">
        <is>
          <t>Q03_histology</t>
        </is>
      </c>
    </row>
    <row r="17">
      <c r="A17" s="6" t="inlineStr">
        <is>
          <t>NUT carcinoma</t>
        </is>
      </c>
      <c r="B17" s="7" t="n">
        <v>1</v>
      </c>
      <c r="C17" s="8" t="n">
        <v>0.001547987616099071</v>
      </c>
      <c r="D17" s="6" t="inlineStr">
        <is>
          <t>Q03_histology</t>
        </is>
      </c>
    </row>
    <row r="18">
      <c r="A18" s="6" t="inlineStr">
        <is>
          <t>Metastatic PTC with focal tall cell features</t>
        </is>
      </c>
      <c r="B18" s="7" t="n">
        <v>1</v>
      </c>
      <c r="C18" s="8" t="n">
        <v>0.001547987616099071</v>
      </c>
      <c r="D18" s="6" t="inlineStr">
        <is>
          <t>Q03_histology</t>
        </is>
      </c>
    </row>
    <row r="19">
      <c r="A19" s="6" t="inlineStr">
        <is>
          <t>Metastatic anaplastic carcinoma</t>
        </is>
      </c>
      <c r="B19" s="7" t="n">
        <v>1</v>
      </c>
      <c r="C19" s="8" t="n">
        <v>0.001547987616099071</v>
      </c>
      <c r="D19" s="6" t="inlineStr">
        <is>
          <t>Q03_histology</t>
        </is>
      </c>
    </row>
    <row r="20">
      <c r="A20" s="6" t="inlineStr">
        <is>
          <t>Metastatic PTC with tall cell features</t>
        </is>
      </c>
      <c r="B20" s="7" t="n">
        <v>1</v>
      </c>
      <c r="C20" s="8" t="n">
        <v>0.001547987616099071</v>
      </c>
      <c r="D20" s="6" t="inlineStr">
        <is>
          <t>Q03_histology</t>
        </is>
      </c>
    </row>
    <row r="21">
      <c r="A21" s="6" t="inlineStr">
        <is>
          <t>Metastatic PTC classical</t>
        </is>
      </c>
      <c r="B21" s="7" t="n">
        <v>1</v>
      </c>
      <c r="C21" s="8" t="n">
        <v>0.001547987616099071</v>
      </c>
      <c r="D21" s="6" t="inlineStr">
        <is>
          <t>Q03_histology</t>
        </is>
      </c>
    </row>
    <row r="22">
      <c r="A22" s="6" t="inlineStr">
        <is>
          <t>Infiltrating carcinoma with thymus-like differentiation</t>
        </is>
      </c>
      <c r="B22" s="7" t="n">
        <v>1</v>
      </c>
      <c r="C22" s="8" t="n">
        <v>0.001547987616099071</v>
      </c>
      <c r="D22" s="6" t="inlineStr">
        <is>
          <t>Q03_histology</t>
        </is>
      </c>
    </row>
    <row r="23">
      <c r="A23" s="6" t="inlineStr">
        <is>
          <t>Metastatic PTC follicular</t>
        </is>
      </c>
      <c r="B23" s="7" t="n">
        <v>1</v>
      </c>
      <c r="C23" s="8" t="n">
        <v>0.001547987616099071</v>
      </c>
      <c r="D23" s="6" t="inlineStr">
        <is>
          <t>Q03_histology</t>
        </is>
      </c>
    </row>
    <row r="24">
      <c r="A24" s="6" t="inlineStr">
        <is>
          <t>Metastatic PTC classical w/ extensive follicular growth, oncocytic, focal tall cell &lt;5%</t>
        </is>
      </c>
      <c r="B24" s="7" t="n">
        <v>1</v>
      </c>
      <c r="C24" s="8" t="n">
        <v>0.001547987616099071</v>
      </c>
      <c r="D24" s="6" t="inlineStr">
        <is>
          <t>Q03_histology</t>
        </is>
      </c>
    </row>
    <row r="25">
      <c r="A25" s="6" t="inlineStr">
        <is>
          <t>TOTAL malignant in massive arm</t>
        </is>
      </c>
      <c r="B25" s="7" t="n">
        <v>646</v>
      </c>
      <c r="C25" s="8" t="n">
        <v>1</v>
      </c>
      <c r="D25" s="6" t="inlineStr">
        <is>
          <t>Q03_histology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18" customWidth="1" min="4" max="4"/>
    <col width="14" customWidth="1" min="5" max="5"/>
    <col width="50" customWidth="1" min="6" max="6"/>
  </cols>
  <sheetData>
    <row r="1">
      <c r="A1" s="4" t="inlineStr">
        <is>
          <t>§3.4 Table 3 — Procedure type (denominator: full arm) + operative context (NSQIP-derived; denominators heterogeneous; LOS uses nsqip_length_of_stay_days, n=246/1,164).</t>
        </is>
      </c>
    </row>
    <row r="3">
      <c r="A3" s="5" t="inlineStr">
        <is>
          <t>Variable</t>
        </is>
      </c>
      <c r="B3" s="5" t="inlineStr">
        <is>
          <t>Massive n / value</t>
        </is>
      </c>
      <c r="C3" s="5" t="inlineStr">
        <is>
          <t>Massive %</t>
        </is>
      </c>
      <c r="D3" s="5" t="inlineStr">
        <is>
          <t>Non-massive n / value</t>
        </is>
      </c>
      <c r="E3" s="5" t="inlineStr">
        <is>
          <t>Non-massive %</t>
        </is>
      </c>
      <c r="F3" s="5" t="inlineStr">
        <is>
          <t>Source query</t>
        </is>
      </c>
    </row>
    <row r="4">
      <c r="A4" s="6">
        <f>== Procedure type (whole-arm denominator) ===</f>
        <v/>
      </c>
      <c r="B4" s="11" t="n"/>
      <c r="C4" s="9" t="n"/>
      <c r="D4" s="11" t="n"/>
      <c r="E4" s="9" t="n"/>
      <c r="F4" s="6" t="inlineStr"/>
    </row>
    <row r="5">
      <c r="A5" s="6" t="inlineStr">
        <is>
          <t>Total thyroidectomy</t>
        </is>
      </c>
      <c r="B5" s="12" t="n">
        <v>1672</v>
      </c>
      <c r="C5" s="8" t="n">
        <v>0.6685325869652139</v>
      </c>
      <c r="D5" s="12" t="n">
        <v>4327</v>
      </c>
      <c r="E5" s="8" t="n">
        <v>0.5169653524492234</v>
      </c>
      <c r="F5" s="6" t="inlineStr">
        <is>
          <t>Q04_proctype</t>
        </is>
      </c>
    </row>
    <row r="6">
      <c r="A6" s="6" t="inlineStr">
        <is>
          <t>Hemithyroidectomy</t>
        </is>
      </c>
      <c r="B6" s="12" t="n">
        <v>792</v>
      </c>
      <c r="C6" s="8" t="n">
        <v>0.3166733306677329</v>
      </c>
      <c r="D6" s="12" t="n">
        <v>3640</v>
      </c>
      <c r="E6" s="8" t="n">
        <v>0.4348864994026284</v>
      </c>
      <c r="F6" s="6" t="inlineStr">
        <is>
          <t>Q04_proctype</t>
        </is>
      </c>
    </row>
    <row r="7">
      <c r="A7" s="6" t="inlineStr">
        <is>
          <t>Other</t>
        </is>
      </c>
      <c r="B7" s="12" t="n">
        <v>36</v>
      </c>
      <c r="C7" s="8" t="n">
        <v>0.01439424230307877</v>
      </c>
      <c r="D7" s="12" t="n">
        <v>386</v>
      </c>
      <c r="E7" s="8" t="n">
        <v>0.04611708482676224</v>
      </c>
      <c r="F7" s="6" t="inlineStr">
        <is>
          <t>Q04_proctype</t>
        </is>
      </c>
    </row>
    <row r="8">
      <c r="A8" s="6" t="inlineStr">
        <is>
          <t>Isthmusectomy</t>
        </is>
      </c>
      <c r="B8" s="12" t="n">
        <v>1</v>
      </c>
      <c r="C8" s="8" t="n">
        <v>0.0003998400639744102</v>
      </c>
      <c r="D8" s="12" t="n">
        <v>6</v>
      </c>
      <c r="E8" s="8" t="n">
        <v>0.0007168458781362007</v>
      </c>
      <c r="F8" s="6" t="inlineStr">
        <is>
          <t>Q04_proctype</t>
        </is>
      </c>
    </row>
    <row r="9">
      <c r="A9" s="6" t="inlineStr">
        <is>
          <t>Unknown / NULL</t>
        </is>
      </c>
      <c r="B9" s="12" t="n">
        <v>0</v>
      </c>
      <c r="C9" s="8" t="n">
        <v>0</v>
      </c>
      <c r="D9" s="12" t="n">
        <v>11</v>
      </c>
      <c r="E9" s="8" t="n">
        <v>0.001314217443249701</v>
      </c>
      <c r="F9" s="6" t="inlineStr">
        <is>
          <t>Q04_proctype</t>
        </is>
      </c>
    </row>
    <row r="10">
      <c r="A10" s="6" t="inlineStr">
        <is>
          <t>Procedure-type completeness</t>
        </is>
      </c>
      <c r="B10" s="11" t="n"/>
      <c r="C10" s="8" t="n">
        <v>1</v>
      </c>
      <c r="D10" s="11" t="n"/>
      <c r="E10" s="8" t="n">
        <v>0.9997610513739545</v>
      </c>
      <c r="F10" s="6" t="inlineStr">
        <is>
          <t>(2501-NULL)/2501; (8370-NULL)/8370</t>
        </is>
      </c>
    </row>
    <row r="11">
      <c r="A11" s="6">
        <f>== Operative context (NSQIP-derived) ===</f>
        <v/>
      </c>
      <c r="B11" s="11" t="n"/>
      <c r="C11" s="9" t="n"/>
      <c r="D11" s="11" t="n"/>
      <c r="E11" s="9" t="n"/>
      <c r="F11" s="6" t="inlineStr"/>
    </row>
    <row r="12">
      <c r="A12" s="6" t="inlineStr">
        <is>
          <t>Central neck dissection (n)</t>
        </is>
      </c>
      <c r="B12" s="12" t="n">
        <v>55</v>
      </c>
      <c r="C12" s="9" t="n"/>
      <c r="D12" s="12" t="n">
        <v>193</v>
      </c>
      <c r="E12" s="9" t="n"/>
      <c r="F12" s="6" t="inlineStr">
        <is>
          <t>Q04_opctx</t>
        </is>
      </c>
    </row>
    <row r="13">
      <c r="A13" s="6" t="inlineStr">
        <is>
          <t>Lateral neck dissection (n)</t>
        </is>
      </c>
      <c r="B13" s="12" t="n">
        <v>19</v>
      </c>
      <c r="C13" s="9" t="n"/>
      <c r="D13" s="12" t="n">
        <v>20</v>
      </c>
      <c r="E13" s="9" t="n"/>
      <c r="F13" s="6" t="inlineStr">
        <is>
          <t>Q04_opctx</t>
        </is>
      </c>
    </row>
    <row r="14">
      <c r="A14" s="6" t="inlineStr">
        <is>
          <t>Mean operative duration (min)</t>
        </is>
      </c>
      <c r="B14" s="12" t="n">
        <v>130.83</v>
      </c>
      <c r="C14" s="9" t="n"/>
      <c r="D14" s="12" t="n">
        <v>121.33</v>
      </c>
      <c r="E14" s="9" t="n"/>
      <c r="F14" s="6" t="inlineStr">
        <is>
          <t>Q04_opctx</t>
        </is>
      </c>
    </row>
    <row r="15">
      <c r="A15" s="6" t="inlineStr">
        <is>
          <t>Median operative duration (min)</t>
        </is>
      </c>
      <c r="B15" s="12" t="n">
        <v>113.5</v>
      </c>
      <c r="C15" s="9" t="n"/>
      <c r="D15" s="12" t="n">
        <v>107</v>
      </c>
      <c r="E15" s="9" t="n"/>
      <c r="F15" s="6" t="inlineStr">
        <is>
          <t>Q04_opctx</t>
        </is>
      </c>
    </row>
    <row r="16">
      <c r="A16" s="6" t="inlineStr">
        <is>
          <t>Mean hospital LOS (days)</t>
        </is>
      </c>
      <c r="B16" s="12" t="n">
        <v>1.264</v>
      </c>
      <c r="C16" s="9" t="n"/>
      <c r="D16" s="12" t="n">
        <v>1.067</v>
      </c>
      <c r="E16" s="9" t="n"/>
      <c r="F16" s="6" t="inlineStr">
        <is>
          <t>Q04_opctx (nsqip_length_of_stay_days, n=246/1164)</t>
        </is>
      </c>
    </row>
    <row r="17">
      <c r="A17" s="6" t="inlineStr">
        <is>
          <t>Median hospital LOS (days)</t>
        </is>
      </c>
      <c r="B17" s="12" t="n">
        <v>1</v>
      </c>
      <c r="C17" s="9" t="n"/>
      <c r="D17" s="12" t="n">
        <v>1</v>
      </c>
      <c r="E17" s="9" t="n"/>
      <c r="F17" s="6" t="inlineStr">
        <is>
          <t>Q04_opctx</t>
        </is>
      </c>
    </row>
    <row r="18">
      <c r="A18" s="6" t="inlineStr">
        <is>
          <t>Transfusion (NSQIP, ≥1 unit) (n)</t>
        </is>
      </c>
      <c r="B18" s="12" t="n">
        <v>2</v>
      </c>
      <c r="C18" s="9" t="n"/>
      <c r="D18" s="12" t="n">
        <v>2</v>
      </c>
      <c r="E18" s="9" t="n"/>
      <c r="F18" s="6" t="inlineStr">
        <is>
          <t>Q04_opctx</t>
        </is>
      </c>
    </row>
    <row r="19">
      <c r="A19" s="6" t="inlineStr">
        <is>
          <t>Unplanned reintubation (n)</t>
        </is>
      </c>
      <c r="B19" s="12" t="n">
        <v>5</v>
      </c>
      <c r="C19" s="9" t="n"/>
      <c r="D19" s="12" t="n">
        <v>7</v>
      </c>
      <c r="E19" s="9" t="n"/>
      <c r="F19" s="6" t="inlineStr">
        <is>
          <t>Q04_opctx</t>
        </is>
      </c>
    </row>
    <row r="20">
      <c r="A20" s="6" t="inlineStr">
        <is>
          <t>30-day readmission (n)</t>
        </is>
      </c>
      <c r="B20" s="12" t="n">
        <v>11</v>
      </c>
      <c r="C20" s="9" t="n"/>
      <c r="D20" s="12" t="n">
        <v>18</v>
      </c>
      <c r="E20" s="9" t="n"/>
      <c r="F20" s="6" t="inlineStr">
        <is>
          <t>Q04_opctx</t>
        </is>
      </c>
    </row>
    <row r="21">
      <c r="A21" s="6" t="inlineStr">
        <is>
          <t>NLP tracheostomy (any timing)</t>
        </is>
      </c>
      <c r="B21" s="12" t="n">
        <v>121</v>
      </c>
      <c r="C21" s="8" t="n">
        <v>0.04838064774090364</v>
      </c>
      <c r="D21" s="12" t="n">
        <v>263</v>
      </c>
      <c r="E21" s="8" t="n">
        <v>0.03142174432497013</v>
      </c>
      <c r="F21" s="6" t="inlineStr">
        <is>
          <t>Q04_opctx (proc_nlp_tracheostomy)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6" customWidth="1" min="4" max="4"/>
    <col width="16" customWidth="1" min="5" max="5"/>
    <col width="28" customWidth="1" min="6" max="6"/>
    <col width="18" customWidth="1" min="7" max="7"/>
    <col width="60" customWidth="1" min="8" max="8"/>
  </cols>
  <sheetData>
    <row r="1" ht="60" customHeight="1">
      <c r="A1" s="13" t="inlineStr">
        <is>
          <t>§3.5 Table 4 — Strict-definition perioperative complications (post-mig_252 rollup), restructured per the standing rule (memory/feedback_complications_transient_vs_permanent.md). Hypoparathyroidism is split into transient (&lt;6mo) vs permanent (&gt;6mo). Hypocalcemia, RLN injury, VC paresis, and VC paralysis report postop confirmed plus a 'present preop' flag row (encoding gaps noted). Strict postop definition: comp_*_confirmed = TRUE ⇔ underlying finding_status='present' AND evidence_strength IN ('definitive','probable'). Denominators: massive 2,501; non-massive 8,370.</t>
        </is>
      </c>
    </row>
    <row r="3">
      <c r="A3" s="5" t="inlineStr">
        <is>
          <t>Outcome</t>
        </is>
      </c>
      <c r="B3" s="5" t="inlineStr">
        <is>
          <t>Massive n</t>
        </is>
      </c>
      <c r="C3" s="5" t="inlineStr">
        <is>
          <t>Massive %</t>
        </is>
      </c>
      <c r="D3" s="5" t="inlineStr">
        <is>
          <t>Non-massive n</t>
        </is>
      </c>
      <c r="E3" s="5" t="inlineStr">
        <is>
          <t>Non-massive %</t>
        </is>
      </c>
      <c r="F3" s="5" t="inlineStr">
        <is>
          <t>RR (massive / non-massive)</t>
        </is>
      </c>
      <c r="G3" s="5" t="inlineStr">
        <is>
          <t>Source query</t>
        </is>
      </c>
      <c r="H3" s="5" t="inlineStr">
        <is>
          <t>Notes</t>
        </is>
      </c>
    </row>
    <row r="4">
      <c r="A4" s="16">
        <f>== Postop confirmed (whole-arm denominator) ===</f>
        <v/>
      </c>
    </row>
    <row r="5">
      <c r="A5" s="17" t="inlineStr">
        <is>
          <t>Any confirmed complication flag</t>
        </is>
      </c>
      <c r="B5" s="7" t="n">
        <v>132</v>
      </c>
      <c r="C5" s="8" t="n">
        <v>0.05277888844462215</v>
      </c>
      <c r="D5" s="7" t="n">
        <v>268</v>
      </c>
      <c r="E5" s="8" t="n">
        <v>0.03201911589008363</v>
      </c>
      <c r="F5" s="12" t="n">
        <v>1.648355583139878</v>
      </c>
      <c r="G5" s="17" t="inlineStr">
        <is>
          <t>Q05_comps</t>
        </is>
      </c>
      <c r="H5" s="17" t="inlineStr"/>
    </row>
    <row r="6">
      <c r="A6" s="17" t="inlineStr">
        <is>
          <t>Confirmed hematoma</t>
        </is>
      </c>
      <c r="B6" s="7" t="n">
        <v>23</v>
      </c>
      <c r="C6" s="8" t="n">
        <v>0.009196321471411436</v>
      </c>
      <c r="D6" s="7" t="n">
        <v>45</v>
      </c>
      <c r="E6" s="8" t="n">
        <v>0.005376344086021506</v>
      </c>
      <c r="F6" s="12" t="n">
        <v>1.710515793682527</v>
      </c>
      <c r="G6" s="17" t="inlineStr">
        <is>
          <t>Q05_comps</t>
        </is>
      </c>
      <c r="H6" s="17" t="inlineStr"/>
    </row>
    <row r="7">
      <c r="A7" s="17" t="inlineStr">
        <is>
          <t>Confirmed seroma</t>
        </is>
      </c>
      <c r="B7" s="7" t="n">
        <v>12</v>
      </c>
      <c r="C7" s="8" t="n">
        <v>0.004798080767692923</v>
      </c>
      <c r="D7" s="7" t="n">
        <v>27</v>
      </c>
      <c r="E7" s="8" t="n">
        <v>0.003225806451612903</v>
      </c>
      <c r="F7" s="12" t="n">
        <v>1.487405037984806</v>
      </c>
      <c r="G7" s="17" t="inlineStr">
        <is>
          <t>Q05_comps</t>
        </is>
      </c>
      <c r="H7" s="17" t="inlineStr"/>
    </row>
    <row r="8">
      <c r="A8" s="17" t="inlineStr">
        <is>
          <t>Confirmed chyle leak</t>
        </is>
      </c>
      <c r="B8" s="7" t="n">
        <v>2</v>
      </c>
      <c r="C8" s="8" t="n">
        <v>0.0007996801279488205</v>
      </c>
      <c r="D8" s="7" t="n">
        <v>1</v>
      </c>
      <c r="E8" s="8" t="n">
        <v>0.0001194743130227001</v>
      </c>
      <c r="F8" s="12" t="n">
        <v>6.693322670931628</v>
      </c>
      <c r="G8" s="17" t="inlineStr">
        <is>
          <t>Q05_comps</t>
        </is>
      </c>
      <c r="H8" s="17" t="inlineStr"/>
    </row>
    <row r="9">
      <c r="A9" s="17" t="inlineStr">
        <is>
          <t>Confirmed VC paresis (postop)</t>
        </is>
      </c>
      <c r="B9" s="7" t="n">
        <v>0</v>
      </c>
      <c r="C9" s="8" t="n">
        <v>0</v>
      </c>
      <c r="D9" s="7" t="n">
        <v>0</v>
      </c>
      <c r="E9" s="8" t="n">
        <v>0</v>
      </c>
      <c r="F9" s="18" t="n"/>
      <c r="G9" s="17" t="inlineStr">
        <is>
          <t>Q05_comps</t>
        </is>
      </c>
      <c r="H9" s="17" t="inlineStr">
        <is>
          <t>Standing rule: preop flag not encoded; CF-VC-PARALYSIS-PREOP-FLAG</t>
        </is>
      </c>
    </row>
    <row r="10">
      <c r="A10" s="17" t="inlineStr">
        <is>
          <t>Confirmed VC paralysis (postop)</t>
        </is>
      </c>
      <c r="B10" s="7" t="n">
        <v>19</v>
      </c>
      <c r="C10" s="8" t="n">
        <v>0.007596961215513794</v>
      </c>
      <c r="D10" s="7" t="n">
        <v>4</v>
      </c>
      <c r="E10" s="8" t="n">
        <v>0.0004778972520908005</v>
      </c>
      <c r="F10" s="12" t="n">
        <v>15.89664134346262</v>
      </c>
      <c r="G10" s="17" t="inlineStr">
        <is>
          <t>Q05_comps</t>
        </is>
      </c>
      <c r="H10" s="17" t="inlineStr">
        <is>
          <t>Standing rule: preop flag not encoded; CF-VC-PARALYSIS-PREOP-FLAG</t>
        </is>
      </c>
    </row>
    <row r="11">
      <c r="A11" s="17" t="inlineStr">
        <is>
          <t>Confirmed RLN injury (postop)</t>
        </is>
      </c>
      <c r="B11" s="7" t="n">
        <v>14</v>
      </c>
      <c r="C11" s="8" t="n">
        <v>0.005597760895641743</v>
      </c>
      <c r="D11" s="7" t="n">
        <v>7</v>
      </c>
      <c r="E11" s="8" t="n">
        <v>0.0008363201911589009</v>
      </c>
      <c r="F11" s="12" t="n">
        <v>6.693322670931627</v>
      </c>
      <c r="G11" s="17" t="inlineStr">
        <is>
          <t>Q05_comps</t>
        </is>
      </c>
      <c r="H11" s="17" t="inlineStr">
        <is>
          <t>Standing rule: preop flag not encoded; CF-RLN-PREOP-FLAG</t>
        </is>
      </c>
    </row>
    <row r="12">
      <c r="A12" s="17" t="inlineStr">
        <is>
          <t>Confirmed hypocalcemia (postop)</t>
        </is>
      </c>
      <c r="B12" s="7" t="n">
        <v>1</v>
      </c>
      <c r="C12" s="8" t="n">
        <v>0.0003998400639744102</v>
      </c>
      <c r="D12" s="7" t="n">
        <v>8</v>
      </c>
      <c r="E12" s="8" t="n">
        <v>0.0009557945041816009</v>
      </c>
      <c r="F12" s="12" t="n">
        <v>0.4183326669332267</v>
      </c>
      <c r="G12" s="17" t="inlineStr">
        <is>
          <t>Q05_comps</t>
        </is>
      </c>
      <c r="H12" s="17" t="inlineStr">
        <is>
          <t>Excludes preop cases (see preop row below)</t>
        </is>
      </c>
    </row>
    <row r="13">
      <c r="A13" s="17" t="inlineStr">
        <is>
          <t>All-cause in-record mortality</t>
        </is>
      </c>
      <c r="B13" s="7" t="n">
        <v>59</v>
      </c>
      <c r="C13" s="8" t="n">
        <v>0.0235905637744902</v>
      </c>
      <c r="D13" s="7" t="n">
        <v>133</v>
      </c>
      <c r="E13" s="8" t="n">
        <v>0.01589008363201912</v>
      </c>
      <c r="F13" s="12" t="n">
        <v>1.484609163853255</v>
      </c>
      <c r="G13" s="17" t="inlineStr">
        <is>
          <t>Q05_comps</t>
        </is>
      </c>
      <c r="H13" s="17" t="inlineStr"/>
    </row>
    <row r="14">
      <c r="A14" s="16">
        <f>== Hypoparathyroidism — transient/permanent split (standing rule) ===</f>
        <v/>
      </c>
    </row>
    <row r="15">
      <c r="A15" s="17" t="inlineStr">
        <is>
          <t>Hypoparathyroidism — postop transient (&lt;6mo)</t>
        </is>
      </c>
      <c r="B15" s="7" t="n">
        <v>83</v>
      </c>
      <c r="C15" s="8" t="n">
        <v>0.03318672530987605</v>
      </c>
      <c r="D15" s="7" t="n">
        <v>197</v>
      </c>
      <c r="E15" s="8" t="n">
        <v>0.02353643966547192</v>
      </c>
      <c r="F15" s="12" t="n">
        <v>1.410014674333312</v>
      </c>
      <c r="G15" s="17" t="inlineStr">
        <is>
          <t>Q05b_hpt_split</t>
        </is>
      </c>
      <c r="H15" s="17" t="inlineStr">
        <is>
          <t>comp_hypoparathyroidism_confirmed AND comp_hypoparathyroidism_transient</t>
        </is>
      </c>
    </row>
    <row r="16">
      <c r="A16" s="17" t="inlineStr">
        <is>
          <t>Hypoparathyroidism — postop permanent (&gt;6mo)</t>
        </is>
      </c>
      <c r="B16" s="7" t="n">
        <v>4</v>
      </c>
      <c r="C16" s="8" t="n">
        <v>0.001599360255897641</v>
      </c>
      <c r="D16" s="7" t="n">
        <v>12</v>
      </c>
      <c r="E16" s="8" t="n">
        <v>0.001433691756272401</v>
      </c>
      <c r="F16" s="12" t="n">
        <v>1.115553778488604</v>
      </c>
      <c r="G16" s="17" t="inlineStr">
        <is>
          <t>Q05b_hpt_split</t>
        </is>
      </c>
      <c r="H16" s="17" t="inlineStr">
        <is>
          <t>comp_hypoparathyroidism_confirmed AND comp_hypoparathyroidism_permanent</t>
        </is>
      </c>
    </row>
    <row r="17">
      <c r="A17" s="17" t="inlineStr">
        <is>
          <t>Hypoparathyroidism — postop unclassified</t>
        </is>
      </c>
      <c r="B17" s="7" t="n">
        <v>0</v>
      </c>
      <c r="C17" s="8" t="n">
        <v>0</v>
      </c>
      <c r="D17" s="7" t="n">
        <v>0</v>
      </c>
      <c r="E17" s="8" t="n">
        <v>0</v>
      </c>
      <c r="F17" s="18" t="n"/>
      <c r="G17" s="17" t="inlineStr">
        <is>
          <t>Q05b_hpt_split</t>
        </is>
      </c>
      <c r="H17" s="17" t="inlineStr">
        <is>
          <t>Zero unclassified in M038; partition is clean</t>
        </is>
      </c>
    </row>
    <row r="18">
      <c r="A18" s="17" t="inlineStr">
        <is>
          <t>Hypoparathyroidism — postop ALL (sum check)</t>
        </is>
      </c>
      <c r="B18" s="7" t="n">
        <v>87</v>
      </c>
      <c r="C18" s="8" t="n">
        <v>0.03478608556577369</v>
      </c>
      <c r="D18" s="7" t="n">
        <v>209</v>
      </c>
      <c r="E18" s="8" t="n">
        <v>0.02497013142174433</v>
      </c>
      <c r="F18" s="12" t="n">
        <v>1.393107828638879</v>
      </c>
      <c r="G18" s="17" t="inlineStr">
        <is>
          <t>Q05_comps</t>
        </is>
      </c>
      <c r="H18" s="17" t="inlineStr">
        <is>
          <t>Sum check: 83+4=87 ✓; 197+12=209 ✓</t>
        </is>
      </c>
    </row>
    <row r="19">
      <c r="A19" s="16">
        <f>== Preop yes/no flag (standing rule) ===</f>
        <v/>
      </c>
    </row>
    <row r="20">
      <c r="A20" s="17" t="inlineStr">
        <is>
          <t>Hypocalcemia — present preop</t>
        </is>
      </c>
      <c r="B20" s="7" t="n">
        <v>7</v>
      </c>
      <c r="C20" s="8" t="n">
        <v>0.002798880447820872</v>
      </c>
      <c r="D20" s="7" t="n">
        <v>46</v>
      </c>
      <c r="E20" s="8" t="n">
        <v>0.005495818399044205</v>
      </c>
      <c r="F20" s="18" t="n"/>
      <c r="G20" s="17" t="inlineStr">
        <is>
          <t>Q05b_hca_preop</t>
        </is>
      </c>
      <c r="H20" s="17" t="inlineStr">
        <is>
          <t>comp_hypocalcemia_timing_window = 'pre_surgery'</t>
        </is>
      </c>
    </row>
    <row r="21">
      <c r="A21" s="17" t="inlineStr">
        <is>
          <t>RLN injury — present preop</t>
        </is>
      </c>
      <c r="B21" s="19" t="n"/>
      <c r="C21" s="20" t="n"/>
      <c r="D21" s="19" t="n"/>
      <c r="E21" s="20" t="n"/>
      <c r="F21" s="18" t="n"/>
      <c r="G21" s="17" t="inlineStr">
        <is>
          <t>Q05b_preop_gap</t>
        </is>
      </c>
      <c r="H21" s="17" t="inlineStr">
        <is>
          <t>Not currently encoded — CF-RLN-PREOP-FLAG</t>
        </is>
      </c>
    </row>
    <row r="22">
      <c r="A22" s="17" t="inlineStr">
        <is>
          <t>VC paralysis — present preop</t>
        </is>
      </c>
      <c r="B22" s="19" t="n"/>
      <c r="C22" s="20" t="n"/>
      <c r="D22" s="19" t="n"/>
      <c r="E22" s="20" t="n"/>
      <c r="F22" s="18" t="n"/>
      <c r="G22" s="17" t="inlineStr">
        <is>
          <t>Q05b_preop_gap</t>
        </is>
      </c>
      <c r="H22" s="17" t="inlineStr">
        <is>
          <t>Not currently encoded — CF-VC-PARALYSIS-PREOP-FLAG</t>
        </is>
      </c>
    </row>
    <row r="23">
      <c r="A23" s="17" t="inlineStr">
        <is>
          <t>VC paresis — present preop</t>
        </is>
      </c>
      <c r="B23" s="19" t="n"/>
      <c r="C23" s="20" t="n"/>
      <c r="D23" s="19" t="n"/>
      <c r="E23" s="20" t="n"/>
      <c r="F23" s="18" t="n"/>
      <c r="G23" s="17" t="inlineStr">
        <is>
          <t>Q05b_preop_gap</t>
        </is>
      </c>
      <c r="H23" s="17" t="inlineStr">
        <is>
          <t>Not currently encoded — same carry-forward as VC paralysis</t>
        </is>
      </c>
    </row>
    <row r="24">
      <c r="A24" s="17" t="inlineStr">
        <is>
          <t>Hypoparathyroidism — preexisting (FYI)</t>
        </is>
      </c>
      <c r="B24" s="7" t="n">
        <v>17</v>
      </c>
      <c r="C24" s="8" t="n">
        <v>0.006797281087564974</v>
      </c>
      <c r="D24" s="7" t="n">
        <v>42</v>
      </c>
      <c r="E24" s="8" t="n">
        <v>0.005017921146953405</v>
      </c>
      <c r="F24" s="18" t="n"/>
      <c r="G24" s="17" t="inlineStr">
        <is>
          <t>Q05b_hpt_preexist</t>
        </is>
      </c>
      <c r="H24" s="17" t="inlineStr">
        <is>
          <t>comp_hypoparathyroidism_preexisting; not used in trans/perm split (those count NEW postop cases only)</t>
        </is>
      </c>
    </row>
    <row r="25" ht="110" customHeight="1">
      <c r="A25" s="13" t="inlineStr">
        <is>
          <t>Strict postop rollup applied via mig_252 (commit 32beb7b). Pre-mig_252 rollups counted negation evidence (finding_status='absent') as confirmation; corrected expression requires finding_status='present' AND evidence_strength IN ('definitive','probable'). Cohort-wide impact: any_confirmed_complication_flag count 2,490 → 400 (validated 2026-05-01). Hypoparathyroidism transient/permanent partition validated cohort-wide: 296 confirmed → 280 transient (94.6%) + 16 permanent (5.4%); zero unclassified. 14 confirmed cases have a permanence-classification limitation note ('followup_too_short_for_permanence_classification', 'reset_20260417:confirmed_duration_unknown', 'confirmed_hypopara_no_persistent_biochem_evidence_followup_gt_6mo'). 87% of confirmed cases have timing_window='unknown'; trans/perm assignment uses additional signals (treatment_req, biochem persistence, NSQIP recovered_flag) beyond pure timing. Standing rule reference: memory/feedback_complications_transient_vs_permanent.md.</t>
        </is>
      </c>
    </row>
  </sheetData>
  <mergeCells count="4">
    <mergeCell ref="A4:H4"/>
    <mergeCell ref="A19:H19"/>
    <mergeCell ref="A14:H14"/>
    <mergeCell ref="A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4" t="inlineStr">
        <is>
          <t>§3.6 Era stratification of composite-massive flag prevalence. Era binning: surg_first_date &lt;= '2004-12-31' (1999–2004; sweeps in 2 pre-1999 dates), then 5-year buckets through 2025; NULL surg_first_date → 'unknown'.</t>
        </is>
      </c>
    </row>
    <row r="3">
      <c r="A3" s="5" t="inlineStr">
        <is>
          <t>Era</t>
        </is>
      </c>
      <c r="B3" s="5" t="inlineStr">
        <is>
          <t>Total n</t>
        </is>
      </c>
      <c r="C3" s="5" t="inlineStr">
        <is>
          <t>Massive n</t>
        </is>
      </c>
      <c r="D3" s="5" t="inlineStr">
        <is>
          <t>Non-massive n</t>
        </is>
      </c>
      <c r="E3" s="5" t="inlineStr">
        <is>
          <t>% Massive</t>
        </is>
      </c>
      <c r="F3" s="5" t="inlineStr">
        <is>
          <t>Source query</t>
        </is>
      </c>
    </row>
    <row r="4">
      <c r="A4" s="6" t="inlineStr">
        <is>
          <t>1999–2004</t>
        </is>
      </c>
      <c r="B4" s="7" t="n">
        <v>903</v>
      </c>
      <c r="C4" s="7" t="n">
        <v>110</v>
      </c>
      <c r="D4" s="7" t="n">
        <v>793</v>
      </c>
      <c r="E4" s="8" t="n">
        <v>0.1218161683277962</v>
      </c>
      <c r="F4" s="6" t="inlineStr">
        <is>
          <t>Q06_era</t>
        </is>
      </c>
    </row>
    <row r="5">
      <c r="A5" s="6" t="inlineStr">
        <is>
          <t>2005–2009</t>
        </is>
      </c>
      <c r="B5" s="7" t="n">
        <v>1191</v>
      </c>
      <c r="C5" s="7" t="n">
        <v>142</v>
      </c>
      <c r="D5" s="7" t="n">
        <v>1049</v>
      </c>
      <c r="E5" s="8" t="n">
        <v>0.1192275398824517</v>
      </c>
      <c r="F5" s="6" t="inlineStr">
        <is>
          <t>Q06_era</t>
        </is>
      </c>
    </row>
    <row r="6">
      <c r="A6" s="6" t="inlineStr">
        <is>
          <t>2010–2014</t>
        </is>
      </c>
      <c r="B6" s="7" t="n">
        <v>1885</v>
      </c>
      <c r="C6" s="7" t="n">
        <v>240</v>
      </c>
      <c r="D6" s="7" t="n">
        <v>1645</v>
      </c>
      <c r="E6" s="8" t="n">
        <v>0.1273209549071618</v>
      </c>
      <c r="F6" s="6" t="inlineStr">
        <is>
          <t>Q06_era</t>
        </is>
      </c>
    </row>
    <row r="7">
      <c r="A7" s="6" t="inlineStr">
        <is>
          <t>2015–2019</t>
        </is>
      </c>
      <c r="B7" s="7" t="n">
        <v>2935</v>
      </c>
      <c r="C7" s="7" t="n">
        <v>731</v>
      </c>
      <c r="D7" s="7" t="n">
        <v>2204</v>
      </c>
      <c r="E7" s="8" t="n">
        <v>0.2490630323679728</v>
      </c>
      <c r="F7" s="6" t="inlineStr">
        <is>
          <t>Q06_era</t>
        </is>
      </c>
    </row>
    <row r="8">
      <c r="A8" s="6" t="inlineStr">
        <is>
          <t>2020–2025</t>
        </is>
      </c>
      <c r="B8" s="7" t="n">
        <v>1817</v>
      </c>
      <c r="C8" s="7" t="n">
        <v>517</v>
      </c>
      <c r="D8" s="7" t="n">
        <v>1300</v>
      </c>
      <c r="E8" s="8" t="n">
        <v>0.2845349477160154</v>
      </c>
      <c r="F8" s="6" t="inlineStr">
        <is>
          <t>Q06_era</t>
        </is>
      </c>
    </row>
    <row r="9">
      <c r="A9" s="6" t="inlineStr">
        <is>
          <t>Surgical date unknown</t>
        </is>
      </c>
      <c r="B9" s="7" t="n">
        <v>2140</v>
      </c>
      <c r="C9" s="7" t="n">
        <v>761</v>
      </c>
      <c r="D9" s="7" t="n">
        <v>1379</v>
      </c>
      <c r="E9" s="8" t="n">
        <v>0.355607476635514</v>
      </c>
      <c r="F9" s="6" t="inlineStr">
        <is>
          <t>Q06_era</t>
        </is>
      </c>
    </row>
    <row r="10">
      <c r="A10" s="6" t="inlineStr">
        <is>
          <t>TOTAL</t>
        </is>
      </c>
      <c r="B10" s="7" t="n">
        <v>10871</v>
      </c>
      <c r="C10" s="7" t="n">
        <v>2501</v>
      </c>
      <c r="D10" s="7" t="n">
        <v>8370</v>
      </c>
      <c r="E10" s="8" t="n">
        <v>0.2300616318645939</v>
      </c>
      <c r="F10" s="6" t="inlineStr">
        <is>
          <t>Q06_era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</cols>
  <sheetData>
    <row r="1">
      <c r="A1" s="4" t="inlineStr">
        <is>
          <t>Per-era × per-arm coverage of the six component-flag source columns. 'Coverage' = fraction with non-NULL value (TRUE or FALSE). Documents the era-rise narrative in §3.6 / §4: pre-2010 CT/MRI documentation was essentially absent, so the post-2015 rise in massive prevalence reflects expanded structured imaging capture.</t>
        </is>
      </c>
    </row>
    <row r="3">
      <c r="A3" s="5" t="inlineStr">
        <is>
          <t>Era</t>
        </is>
      </c>
      <c r="B3" s="5" t="inlineStr">
        <is>
          <t>Arm</t>
        </is>
      </c>
      <c r="C3" s="5" t="inlineStr">
        <is>
          <t>Arm n</t>
        </is>
      </c>
      <c r="D3" s="5" t="inlineStr">
        <is>
          <t>gland_weight n</t>
        </is>
      </c>
      <c r="E3" s="5" t="inlineStr">
        <is>
          <t>gland_weight cov</t>
        </is>
      </c>
      <c r="F3" s="5" t="inlineStr">
        <is>
          <t>ct_substernal n</t>
        </is>
      </c>
      <c r="G3" s="5" t="inlineStr">
        <is>
          <t>ct_substernal cov</t>
        </is>
      </c>
      <c r="H3" s="5" t="inlineStr">
        <is>
          <t>mri_substernal n</t>
        </is>
      </c>
      <c r="I3" s="5" t="inlineStr">
        <is>
          <t>mri_substernal cov</t>
        </is>
      </c>
      <c r="J3" s="5" t="inlineStr">
        <is>
          <t>ct_tracheal_deviation n</t>
        </is>
      </c>
      <c r="K3" s="5" t="inlineStr">
        <is>
          <t>ct_tracheal_deviation cov</t>
        </is>
      </c>
      <c r="L3" s="5" t="inlineStr">
        <is>
          <t>ct_tracheal_narrowing n</t>
        </is>
      </c>
      <c r="M3" s="5" t="inlineStr">
        <is>
          <t>ct_tracheal_narrowing cov</t>
        </is>
      </c>
      <c r="N3" s="5" t="inlineStr">
        <is>
          <t>ct_airway_compromise n</t>
        </is>
      </c>
      <c r="O3" s="5" t="inlineStr">
        <is>
          <t>ct_airway_compromise cov</t>
        </is>
      </c>
    </row>
    <row r="4">
      <c r="A4" s="6" t="inlineStr">
        <is>
          <t>1999–2004</t>
        </is>
      </c>
      <c r="B4" s="6" t="inlineStr">
        <is>
          <t>Massive</t>
        </is>
      </c>
      <c r="C4" s="7" t="n">
        <v>110</v>
      </c>
      <c r="D4" s="7" t="n">
        <v>110</v>
      </c>
      <c r="E4" s="14" t="n">
        <v>1</v>
      </c>
      <c r="F4" s="7" t="n">
        <v>1</v>
      </c>
      <c r="G4" s="14" t="n">
        <v>0.00909090909090909</v>
      </c>
      <c r="H4" s="7" t="n">
        <v>0</v>
      </c>
      <c r="I4" s="14" t="n">
        <v>0</v>
      </c>
      <c r="J4" s="7" t="n">
        <v>1</v>
      </c>
      <c r="K4" s="14" t="n">
        <v>0.00909090909090909</v>
      </c>
      <c r="L4" s="7" t="n">
        <v>1</v>
      </c>
      <c r="M4" s="14" t="n">
        <v>0.00909090909090909</v>
      </c>
      <c r="N4" s="7" t="n">
        <v>1</v>
      </c>
      <c r="O4" s="14" t="n">
        <v>0.00909090909090909</v>
      </c>
    </row>
    <row r="5">
      <c r="A5" s="6" t="inlineStr">
        <is>
          <t>1999–2004</t>
        </is>
      </c>
      <c r="B5" s="6" t="inlineStr">
        <is>
          <t>Non-massive</t>
        </is>
      </c>
      <c r="C5" s="7" t="n">
        <v>793</v>
      </c>
      <c r="D5" s="7" t="n">
        <v>673</v>
      </c>
      <c r="E5" s="14" t="n">
        <v>0.8486759142496847</v>
      </c>
      <c r="F5" s="7" t="n">
        <v>0</v>
      </c>
      <c r="G5" s="14" t="n">
        <v>0</v>
      </c>
      <c r="H5" s="7" t="n">
        <v>0</v>
      </c>
      <c r="I5" s="14" t="n">
        <v>0</v>
      </c>
      <c r="J5" s="7" t="n">
        <v>0</v>
      </c>
      <c r="K5" s="14" t="n">
        <v>0</v>
      </c>
      <c r="L5" s="7" t="n">
        <v>0</v>
      </c>
      <c r="M5" s="14" t="n">
        <v>0</v>
      </c>
      <c r="N5" s="7" t="n">
        <v>0</v>
      </c>
      <c r="O5" s="14" t="n">
        <v>0</v>
      </c>
    </row>
    <row r="6">
      <c r="A6" s="6" t="inlineStr">
        <is>
          <t>2005–2009</t>
        </is>
      </c>
      <c r="B6" s="6" t="inlineStr">
        <is>
          <t>Massive</t>
        </is>
      </c>
      <c r="C6" s="7" t="n">
        <v>142</v>
      </c>
      <c r="D6" s="7" t="n">
        <v>141</v>
      </c>
      <c r="E6" s="14" t="n">
        <v>0.9929577464788732</v>
      </c>
      <c r="F6" s="7" t="n">
        <v>0</v>
      </c>
      <c r="G6" s="14" t="n">
        <v>0</v>
      </c>
      <c r="H6" s="7" t="n">
        <v>0</v>
      </c>
      <c r="I6" s="14" t="n">
        <v>0</v>
      </c>
      <c r="J6" s="7" t="n">
        <v>1</v>
      </c>
      <c r="K6" s="14" t="n">
        <v>0.007042253521126761</v>
      </c>
      <c r="L6" s="7" t="n">
        <v>1</v>
      </c>
      <c r="M6" s="14" t="n">
        <v>0.007042253521126761</v>
      </c>
      <c r="N6" s="7" t="n">
        <v>1</v>
      </c>
      <c r="O6" s="14" t="n">
        <v>0.007042253521126761</v>
      </c>
    </row>
    <row r="7">
      <c r="A7" s="6" t="inlineStr">
        <is>
          <t>2005–2009</t>
        </is>
      </c>
      <c r="B7" s="6" t="inlineStr">
        <is>
          <t>Non-massive</t>
        </is>
      </c>
      <c r="C7" s="7" t="n">
        <v>1049</v>
      </c>
      <c r="D7" s="7" t="n">
        <v>918</v>
      </c>
      <c r="E7" s="14" t="n">
        <v>0.8751191611058151</v>
      </c>
      <c r="F7" s="7" t="n">
        <v>1</v>
      </c>
      <c r="G7" s="14" t="n">
        <v>0.0009532888465204957</v>
      </c>
      <c r="H7" s="7" t="n">
        <v>1</v>
      </c>
      <c r="I7" s="14" t="n">
        <v>0.0009532888465204957</v>
      </c>
      <c r="J7" s="7" t="n">
        <v>0</v>
      </c>
      <c r="K7" s="14" t="n">
        <v>0</v>
      </c>
      <c r="L7" s="7" t="n">
        <v>0</v>
      </c>
      <c r="M7" s="14" t="n">
        <v>0</v>
      </c>
      <c r="N7" s="7" t="n">
        <v>2</v>
      </c>
      <c r="O7" s="14" t="n">
        <v>0.001906577693040991</v>
      </c>
    </row>
    <row r="8">
      <c r="A8" s="6" t="inlineStr">
        <is>
          <t>2010–2014</t>
        </is>
      </c>
      <c r="B8" s="6" t="inlineStr">
        <is>
          <t>Massive</t>
        </is>
      </c>
      <c r="C8" s="7" t="n">
        <v>240</v>
      </c>
      <c r="D8" s="7" t="n">
        <v>234</v>
      </c>
      <c r="E8" s="14" t="n">
        <v>0.975</v>
      </c>
      <c r="F8" s="7" t="n">
        <v>25</v>
      </c>
      <c r="G8" s="14" t="n">
        <v>0.1041666666666667</v>
      </c>
      <c r="H8" s="7" t="n">
        <v>8</v>
      </c>
      <c r="I8" s="14" t="n">
        <v>0.03333333333333333</v>
      </c>
      <c r="J8" s="7" t="n">
        <v>31</v>
      </c>
      <c r="K8" s="14" t="n">
        <v>0.1291666666666667</v>
      </c>
      <c r="L8" s="7" t="n">
        <v>31</v>
      </c>
      <c r="M8" s="14" t="n">
        <v>0.1291666666666667</v>
      </c>
      <c r="N8" s="7" t="n">
        <v>39</v>
      </c>
      <c r="O8" s="14" t="n">
        <v>0.1625</v>
      </c>
    </row>
    <row r="9">
      <c r="A9" s="6" t="inlineStr">
        <is>
          <t>2010–2014</t>
        </is>
      </c>
      <c r="B9" s="6" t="inlineStr">
        <is>
          <t>Non-massive</t>
        </is>
      </c>
      <c r="C9" s="7" t="n">
        <v>1645</v>
      </c>
      <c r="D9" s="7" t="n">
        <v>1505</v>
      </c>
      <c r="E9" s="14" t="n">
        <v>0.9148936170212766</v>
      </c>
      <c r="F9" s="7" t="n">
        <v>17</v>
      </c>
      <c r="G9" s="14" t="n">
        <v>0.01033434650455927</v>
      </c>
      <c r="H9" s="7" t="n">
        <v>6</v>
      </c>
      <c r="I9" s="14" t="n">
        <v>0.00364741641337386</v>
      </c>
      <c r="J9" s="7" t="n">
        <v>35</v>
      </c>
      <c r="K9" s="14" t="n">
        <v>0.02127659574468085</v>
      </c>
      <c r="L9" s="7" t="n">
        <v>23</v>
      </c>
      <c r="M9" s="14" t="n">
        <v>0.01398176291793313</v>
      </c>
      <c r="N9" s="7" t="n">
        <v>71</v>
      </c>
      <c r="O9" s="14" t="n">
        <v>0.04316109422492401</v>
      </c>
    </row>
    <row r="10">
      <c r="A10" s="6" t="inlineStr">
        <is>
          <t>2015–2019</t>
        </is>
      </c>
      <c r="B10" s="6" t="inlineStr">
        <is>
          <t>Massive</t>
        </is>
      </c>
      <c r="C10" s="7" t="n">
        <v>731</v>
      </c>
      <c r="D10" s="7" t="n">
        <v>657</v>
      </c>
      <c r="E10" s="14" t="n">
        <v>0.8987688098495212</v>
      </c>
      <c r="F10" s="7" t="n">
        <v>406</v>
      </c>
      <c r="G10" s="14" t="n">
        <v>0.5554035567715458</v>
      </c>
      <c r="H10" s="7" t="n">
        <v>72</v>
      </c>
      <c r="I10" s="14" t="n">
        <v>0.09849521203830369</v>
      </c>
      <c r="J10" s="7" t="n">
        <v>473</v>
      </c>
      <c r="K10" s="14" t="n">
        <v>0.6470588235294118</v>
      </c>
      <c r="L10" s="7" t="n">
        <v>457</v>
      </c>
      <c r="M10" s="14" t="n">
        <v>0.625170998632011</v>
      </c>
      <c r="N10" s="7" t="n">
        <v>497</v>
      </c>
      <c r="O10" s="14" t="n">
        <v>0.679890560875513</v>
      </c>
    </row>
    <row r="11">
      <c r="A11" s="6" t="inlineStr">
        <is>
          <t>2015–2019</t>
        </is>
      </c>
      <c r="B11" s="6" t="inlineStr">
        <is>
          <t>Non-massive</t>
        </is>
      </c>
      <c r="C11" s="7" t="n">
        <v>2204</v>
      </c>
      <c r="D11" s="7" t="n">
        <v>1886</v>
      </c>
      <c r="E11" s="14" t="n">
        <v>0.8557168784029038</v>
      </c>
      <c r="F11" s="7" t="n">
        <v>153</v>
      </c>
      <c r="G11" s="14" t="n">
        <v>0.06941923774954628</v>
      </c>
      <c r="H11" s="7" t="n">
        <v>46</v>
      </c>
      <c r="I11" s="14" t="n">
        <v>0.02087114337568058</v>
      </c>
      <c r="J11" s="7" t="n">
        <v>224</v>
      </c>
      <c r="K11" s="14" t="n">
        <v>0.1016333938294011</v>
      </c>
      <c r="L11" s="7" t="n">
        <v>186</v>
      </c>
      <c r="M11" s="14" t="n">
        <v>0.08439201451905626</v>
      </c>
      <c r="N11" s="7" t="n">
        <v>388</v>
      </c>
      <c r="O11" s="14" t="n">
        <v>0.176043557168784</v>
      </c>
    </row>
    <row r="12">
      <c r="A12" s="6" t="inlineStr">
        <is>
          <t>2020–2025</t>
        </is>
      </c>
      <c r="B12" s="6" t="inlineStr">
        <is>
          <t>Massive</t>
        </is>
      </c>
      <c r="C12" s="7" t="n">
        <v>517</v>
      </c>
      <c r="D12" s="7" t="n">
        <v>421</v>
      </c>
      <c r="E12" s="14" t="n">
        <v>0.8143133462282398</v>
      </c>
      <c r="F12" s="7" t="n">
        <v>331</v>
      </c>
      <c r="G12" s="14" t="n">
        <v>0.6402321083172147</v>
      </c>
      <c r="H12" s="7" t="n">
        <v>65</v>
      </c>
      <c r="I12" s="14" t="n">
        <v>0.1257253384912959</v>
      </c>
      <c r="J12" s="7" t="n">
        <v>380</v>
      </c>
      <c r="K12" s="14" t="n">
        <v>0.7350096711798839</v>
      </c>
      <c r="L12" s="7" t="n">
        <v>373</v>
      </c>
      <c r="M12" s="14" t="n">
        <v>0.7214700193423598</v>
      </c>
      <c r="N12" s="7" t="n">
        <v>404</v>
      </c>
      <c r="O12" s="14" t="n">
        <v>0.781431334622824</v>
      </c>
    </row>
    <row r="13">
      <c r="A13" s="6" t="inlineStr">
        <is>
          <t>2020–2025</t>
        </is>
      </c>
      <c r="B13" s="6" t="inlineStr">
        <is>
          <t>Non-massive</t>
        </is>
      </c>
      <c r="C13" s="7" t="n">
        <v>1300</v>
      </c>
      <c r="D13" s="7" t="n">
        <v>988</v>
      </c>
      <c r="E13" s="14" t="n">
        <v>0.76</v>
      </c>
      <c r="F13" s="7" t="n">
        <v>128</v>
      </c>
      <c r="G13" s="14" t="n">
        <v>0.09846153846153846</v>
      </c>
      <c r="H13" s="7" t="n">
        <v>59</v>
      </c>
      <c r="I13" s="14" t="n">
        <v>0.04538461538461538</v>
      </c>
      <c r="J13" s="7" t="n">
        <v>215</v>
      </c>
      <c r="K13" s="14" t="n">
        <v>0.1653846153846154</v>
      </c>
      <c r="L13" s="7" t="n">
        <v>179</v>
      </c>
      <c r="M13" s="14" t="n">
        <v>0.1376923076923077</v>
      </c>
      <c r="N13" s="7" t="n">
        <v>378</v>
      </c>
      <c r="O13" s="14" t="n">
        <v>0.2907692307692308</v>
      </c>
    </row>
    <row r="14">
      <c r="A14" s="6" t="inlineStr">
        <is>
          <t>Unknown</t>
        </is>
      </c>
      <c r="B14" s="6" t="inlineStr">
        <is>
          <t>Massive</t>
        </is>
      </c>
      <c r="C14" s="7" t="n">
        <v>761</v>
      </c>
      <c r="D14" s="7" t="n">
        <v>595</v>
      </c>
      <c r="E14" s="14" t="n">
        <v>0.7818659658344284</v>
      </c>
      <c r="F14" s="7" t="n">
        <v>566</v>
      </c>
      <c r="G14" s="14" t="n">
        <v>0.7437582128777924</v>
      </c>
      <c r="H14" s="7" t="n">
        <v>114</v>
      </c>
      <c r="I14" s="14" t="n">
        <v>0.1498028909329829</v>
      </c>
      <c r="J14" s="7" t="n">
        <v>634</v>
      </c>
      <c r="K14" s="14" t="n">
        <v>0.8331143232588699</v>
      </c>
      <c r="L14" s="7" t="n">
        <v>617</v>
      </c>
      <c r="M14" s="14" t="n">
        <v>0.8107752956636005</v>
      </c>
      <c r="N14" s="7" t="n">
        <v>683</v>
      </c>
      <c r="O14" s="14" t="n">
        <v>0.897503285151117</v>
      </c>
    </row>
    <row r="15">
      <c r="A15" s="6" t="inlineStr">
        <is>
          <t>Unknown</t>
        </is>
      </c>
      <c r="B15" s="6" t="inlineStr">
        <is>
          <t>Non-massive</t>
        </is>
      </c>
      <c r="C15" s="7" t="n">
        <v>1379</v>
      </c>
      <c r="D15" s="7" t="n">
        <v>1002</v>
      </c>
      <c r="E15" s="14" t="n">
        <v>0.7266134880348079</v>
      </c>
      <c r="F15" s="7" t="n">
        <v>176</v>
      </c>
      <c r="G15" s="14" t="n">
        <v>0.1276287164612038</v>
      </c>
      <c r="H15" s="7" t="n">
        <v>91</v>
      </c>
      <c r="I15" s="14" t="n">
        <v>0.06598984771573604</v>
      </c>
      <c r="J15" s="7" t="n">
        <v>335</v>
      </c>
      <c r="K15" s="14" t="n">
        <v>0.242929659173314</v>
      </c>
      <c r="L15" s="7" t="n">
        <v>274</v>
      </c>
      <c r="M15" s="14" t="n">
        <v>0.1986947063089195</v>
      </c>
      <c r="N15" s="7" t="n">
        <v>570</v>
      </c>
      <c r="O15" s="14" t="n">
        <v>0.4133430021754895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>
      <c r="A1" s="4" t="inlineStr">
        <is>
          <t>Full per-arm race breakdown including the 9 distinct values + NULL bucket. The manuscript Table 1 collapses Other/AIAN/NH-PI/Hispanic into one row.</t>
        </is>
      </c>
    </row>
    <row r="3">
      <c r="A3" s="5" t="inlineStr">
        <is>
          <t>Race</t>
        </is>
      </c>
      <c r="B3" s="5" t="inlineStr">
        <is>
          <t>Massive n</t>
        </is>
      </c>
      <c r="C3" s="5" t="inlineStr">
        <is>
          <t>Massive %</t>
        </is>
      </c>
      <c r="D3" s="5" t="inlineStr">
        <is>
          <t>Non-massive n</t>
        </is>
      </c>
      <c r="E3" s="5" t="inlineStr">
        <is>
          <t>Non-massive %</t>
        </is>
      </c>
      <c r="F3" s="5" t="inlineStr">
        <is>
          <t>Source query</t>
        </is>
      </c>
    </row>
    <row r="4">
      <c r="A4" s="6" t="inlineStr">
        <is>
          <t>Black or African American</t>
        </is>
      </c>
      <c r="B4" s="7" t="n">
        <v>1555</v>
      </c>
      <c r="C4" s="8" t="n">
        <v>0.6217512994802079</v>
      </c>
      <c r="D4" s="7" t="n">
        <v>2613</v>
      </c>
      <c r="E4" s="8" t="n">
        <v>0.3121863799283154</v>
      </c>
      <c r="F4" s="6" t="inlineStr">
        <is>
          <t>Q08_race</t>
        </is>
      </c>
    </row>
    <row r="5">
      <c r="A5" s="6" t="inlineStr">
        <is>
          <t>White</t>
        </is>
      </c>
      <c r="B5" s="7" t="n">
        <v>714</v>
      </c>
      <c r="C5" s="8" t="n">
        <v>0.2854858056777289</v>
      </c>
      <c r="D5" s="7" t="n">
        <v>4552</v>
      </c>
      <c r="E5" s="8" t="n">
        <v>0.543847072879331</v>
      </c>
      <c r="F5" s="6" t="inlineStr">
        <is>
          <t>Q08_race</t>
        </is>
      </c>
    </row>
    <row r="6">
      <c r="A6" s="6" t="inlineStr">
        <is>
          <t>Unknown or Not Reported</t>
        </is>
      </c>
      <c r="B6" s="7" t="n">
        <v>130</v>
      </c>
      <c r="C6" s="8" t="n">
        <v>0.05197920831667333</v>
      </c>
      <c r="D6" s="7" t="n">
        <v>591</v>
      </c>
      <c r="E6" s="8" t="n">
        <v>0.07060931899641577</v>
      </c>
      <c r="F6" s="6" t="inlineStr">
        <is>
          <t>Q08_race</t>
        </is>
      </c>
    </row>
    <row r="7">
      <c r="A7" s="6" t="inlineStr">
        <is>
          <t>Asian</t>
        </is>
      </c>
      <c r="B7" s="7" t="n">
        <v>57</v>
      </c>
      <c r="C7" s="8" t="n">
        <v>0.02279088364654138</v>
      </c>
      <c r="D7" s="7" t="n">
        <v>419</v>
      </c>
      <c r="E7" s="8" t="n">
        <v>0.05005973715651135</v>
      </c>
      <c r="F7" s="6" t="inlineStr">
        <is>
          <t>Q08_race</t>
        </is>
      </c>
    </row>
    <row r="8">
      <c r="A8" s="6" t="inlineStr">
        <is>
          <t>Other</t>
        </is>
      </c>
      <c r="B8" s="7" t="n">
        <v>38</v>
      </c>
      <c r="C8" s="8" t="n">
        <v>0.01519392243102759</v>
      </c>
      <c r="D8" s="7" t="n">
        <v>105</v>
      </c>
      <c r="E8" s="8" t="n">
        <v>0.01254480286738351</v>
      </c>
      <c r="F8" s="6" t="inlineStr">
        <is>
          <t>Q08_race</t>
        </is>
      </c>
    </row>
    <row r="9">
      <c r="A9" s="6" t="inlineStr">
        <is>
          <t>American Indian or Alaska Native</t>
        </is>
      </c>
      <c r="B9" s="7" t="n">
        <v>4</v>
      </c>
      <c r="C9" s="8" t="n">
        <v>0.001599360255897641</v>
      </c>
      <c r="D9" s="7" t="n">
        <v>35</v>
      </c>
      <c r="E9" s="8" t="n">
        <v>0.004181600955794504</v>
      </c>
      <c r="F9" s="6" t="inlineStr">
        <is>
          <t>Q08_race</t>
        </is>
      </c>
    </row>
    <row r="10">
      <c r="A10" s="6" t="inlineStr">
        <is>
          <t>Native Hawaiian or Other Pacific Islander</t>
        </is>
      </c>
      <c r="B10" s="7" t="n">
        <v>1</v>
      </c>
      <c r="C10" s="8" t="n">
        <v>0.0003998400639744102</v>
      </c>
      <c r="D10" s="7" t="n">
        <v>26</v>
      </c>
      <c r="E10" s="8" t="n">
        <v>0.003106332138590203</v>
      </c>
      <c r="F10" s="6" t="inlineStr">
        <is>
          <t>Q08_race</t>
        </is>
      </c>
    </row>
    <row r="11">
      <c r="A11" s="6" t="inlineStr">
        <is>
          <t>Hispanic or Latino</t>
        </is>
      </c>
      <c r="B11" s="7" t="n">
        <v>1</v>
      </c>
      <c r="C11" s="8" t="n">
        <v>0.0003998400639744102</v>
      </c>
      <c r="D11" s="7" t="n">
        <v>21</v>
      </c>
      <c r="E11" s="8" t="n">
        <v>0.002508960573476703</v>
      </c>
      <c r="F11" s="6" t="inlineStr">
        <is>
          <t>Q08_race</t>
        </is>
      </c>
    </row>
    <row r="12">
      <c r="A12" s="6" t="inlineStr">
        <is>
          <t>NULL (race not coded)</t>
        </is>
      </c>
      <c r="B12" s="7" t="n">
        <v>1</v>
      </c>
      <c r="C12" s="8" t="n">
        <v>0.0003998400639744102</v>
      </c>
      <c r="D12" s="7" t="n">
        <v>8</v>
      </c>
      <c r="E12" s="8" t="n">
        <v>0.0009557945041816009</v>
      </c>
      <c r="F12" s="6" t="inlineStr">
        <is>
          <t>Q08_race</t>
        </is>
      </c>
    </row>
    <row r="13">
      <c r="A13" s="6" t="inlineStr">
        <is>
          <t>TOTAL</t>
        </is>
      </c>
      <c r="B13" s="7" t="n">
        <v>2501</v>
      </c>
      <c r="C13" s="8" t="n">
        <v>1</v>
      </c>
      <c r="D13" s="7" t="n">
        <v>8370</v>
      </c>
      <c r="E13" s="8" t="n">
        <v>1</v>
      </c>
      <c r="F13" s="6" t="inlineStr">
        <is>
          <t>Q08_race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>
      <c r="A1" s="4" t="inlineStr">
        <is>
          <t>Full per-arm ASA-class breakdown (NSQIP-linked subset only; massive n=246, non-massive n=1,164).</t>
        </is>
      </c>
    </row>
    <row r="3">
      <c r="A3" s="5" t="inlineStr">
        <is>
          <t>ASA class (verbatim)</t>
        </is>
      </c>
      <c r="B3" s="5" t="inlineStr">
        <is>
          <t>Massive n</t>
        </is>
      </c>
      <c r="C3" s="5" t="inlineStr">
        <is>
          <t>Massive %</t>
        </is>
      </c>
      <c r="D3" s="5" t="inlineStr">
        <is>
          <t>Non-massive n</t>
        </is>
      </c>
      <c r="E3" s="5" t="inlineStr">
        <is>
          <t>Non-massive %</t>
        </is>
      </c>
      <c r="F3" s="5" t="inlineStr">
        <is>
          <t>Source query</t>
        </is>
      </c>
    </row>
    <row r="4">
      <c r="A4" s="6" t="inlineStr">
        <is>
          <t>ASA  I - Normal/Healthy</t>
        </is>
      </c>
      <c r="B4" s="7" t="n">
        <v>6</v>
      </c>
      <c r="C4" s="8" t="n">
        <v>0.02439024390243903</v>
      </c>
      <c r="D4" s="7" t="n">
        <v>84</v>
      </c>
      <c r="E4" s="8" t="n">
        <v>0.07216494845360824</v>
      </c>
      <c r="F4" s="6" t="inlineStr">
        <is>
          <t>Q09_asa</t>
        </is>
      </c>
    </row>
    <row r="5">
      <c r="A5" s="6" t="inlineStr">
        <is>
          <t>ASA II - Mild systemic disease</t>
        </is>
      </c>
      <c r="B5" s="7" t="n">
        <v>80</v>
      </c>
      <c r="C5" s="8" t="n">
        <v>0.3252032520325203</v>
      </c>
      <c r="D5" s="7" t="n">
        <v>583</v>
      </c>
      <c r="E5" s="8" t="n">
        <v>0.5008591065292096</v>
      </c>
      <c r="F5" s="6" t="inlineStr">
        <is>
          <t>Q09_asa</t>
        </is>
      </c>
    </row>
    <row r="6">
      <c r="A6" s="6" t="inlineStr">
        <is>
          <t>ASA III - Severe systemic disease</t>
        </is>
      </c>
      <c r="B6" s="7" t="n">
        <v>144</v>
      </c>
      <c r="C6" s="8" t="n">
        <v>0.5853658536585366</v>
      </c>
      <c r="D6" s="7" t="n">
        <v>473</v>
      </c>
      <c r="E6" s="8" t="n">
        <v>0.4063573883161512</v>
      </c>
      <c r="F6" s="6" t="inlineStr">
        <is>
          <t>Q09_asa</t>
        </is>
      </c>
    </row>
    <row r="7">
      <c r="A7" s="6" t="inlineStr">
        <is>
          <t>ASA IV - Severe systemic disease threat to life</t>
        </is>
      </c>
      <c r="B7" s="7" t="n">
        <v>16</v>
      </c>
      <c r="C7" s="8" t="n">
        <v>0.06504065040650407</v>
      </c>
      <c r="D7" s="7" t="n">
        <v>24</v>
      </c>
      <c r="E7" s="8" t="n">
        <v>0.02061855670103093</v>
      </c>
      <c r="F7" s="6" t="inlineStr">
        <is>
          <t>Q09_asa</t>
        </is>
      </c>
    </row>
    <row r="8">
      <c r="A8" s="6" t="inlineStr">
        <is>
          <t>TOTAL (NSQIP-linked subset)</t>
        </is>
      </c>
      <c r="B8" s="7" t="n">
        <v>246</v>
      </c>
      <c r="C8" s="8" t="n">
        <v>1</v>
      </c>
      <c r="D8" s="7" t="n">
        <v>1164</v>
      </c>
      <c r="E8" s="8" t="n">
        <v>1</v>
      </c>
      <c r="F8" s="6" t="inlineStr">
        <is>
          <t>Q09_asa</t>
        </is>
      </c>
    </row>
    <row r="9">
      <c r="A9" s="6" t="inlineStr">
        <is>
          <t>Cohort-wide arm n (for reference)</t>
        </is>
      </c>
      <c r="B9" s="7" t="n">
        <v>2501</v>
      </c>
      <c r="C9" s="8" t="n">
        <v>0.09836065573770492</v>
      </c>
      <c r="D9" s="7" t="n">
        <v>8370</v>
      </c>
      <c r="E9" s="8" t="n">
        <v>0.1390681003584229</v>
      </c>
      <c r="F9" s="6" t="inlineStr">
        <is>
          <t>Q09_asa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10" customWidth="1" min="3" max="3"/>
    <col width="56" customWidth="1" min="4" max="4"/>
    <col width="22" customWidth="1" min="5" max="5"/>
    <col width="12" customWidth="1" min="6" max="6"/>
  </cols>
  <sheetData>
    <row r="1">
      <c r="A1" s="4" t="inlineStr">
        <is>
          <t>One row per executable query backing the data tabs. Every numeric cell in tabs 01–09 traces to a query_id below. All queries executed against database = thyroid_canonical_publication_v1_0; all aggregates derived live from manuscript_workspace.cohort_m038_massive_goiter_v1.</t>
        </is>
      </c>
    </row>
    <row r="3">
      <c r="A3" s="5" t="inlineStr">
        <is>
          <t>query_id</t>
        </is>
      </c>
      <c r="B3" s="5" t="inlineStr">
        <is>
          <t>target_section(s)</t>
        </is>
      </c>
      <c r="C3" s="5" t="inlineStr">
        <is>
          <t>sql_text</t>
        </is>
      </c>
      <c r="D3" s="5" t="inlineStr">
        <is>
          <t>source_view</t>
        </is>
      </c>
      <c r="E3" s="5" t="inlineStr">
        <is>
          <t>last_run_ts (UTC)</t>
        </is>
      </c>
      <c r="F3" s="5" t="inlineStr">
        <is>
          <t>n_rows_returned</t>
        </is>
      </c>
    </row>
    <row r="4" ht="110" customHeight="1">
      <c r="A4" s="6" t="inlineStr">
        <is>
          <t>Q01_assembly</t>
        </is>
      </c>
      <c r="B4" s="6" t="inlineStr">
        <is>
          <t>01_Cohort_Assembly</t>
        </is>
      </c>
      <c r="C4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COUNT(*) AS n_total,
  COUNT(*) FILTER (WHERE is_massive) AS n_massive,
  COUNT(*) FILTER (WHERE COALESCE(gland_weight_final_g&gt;=100, FALSE)) AS n_weight,
  COUNT(*) FILTER (WHERE COALESCE(ct_substernal_extension_any, FALSE) OR COALESCE(mri_substernal_any, FALSE)) AS n_substernal,
  COUNT(*) FILTER (WHERE COALESCE(ct_tracheal_deviation_any, FALSE) OR COALESCE(ct_tracheal_narrowing_any, FALSE) OR COALESCE(ct_airway_compromise_any, FALSE)) AS n_airway
  -- pairwise + triple intersections + single-only via boolean filters
FROM base;</t>
        </is>
      </c>
      <c r="D4" s="6" t="inlineStr">
        <is>
          <t>manuscript_workspace.cohort_m038_massive_goiter_v1</t>
        </is>
      </c>
      <c r="E4" s="6" t="inlineStr">
        <is>
          <t>2026-05-01T12:00:00Z</t>
        </is>
      </c>
      <c r="F4" s="7" t="n">
        <v>13</v>
      </c>
    </row>
    <row r="5" ht="110" customHeight="1">
      <c r="A5" s="6" t="inlineStr">
        <is>
          <t>Q02_age</t>
        </is>
      </c>
      <c r="B5" s="6" t="inlineStr">
        <is>
          <t>02_Table1_Demographics</t>
        </is>
      </c>
      <c r="C5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 AVG(age_at_surgery), MEDIAN(age_at_surgery), QUANTILE_CONT(age_at_surgery, 0.25), QUANTILE_CONT(age_at_surgery, 0.75) FROM base GROUP BY is_massive;</t>
        </is>
      </c>
      <c r="D5" s="6" t="inlineStr">
        <is>
          <t>manuscript_workspace.cohort_m038_massive_goiter_v1</t>
        </is>
      </c>
      <c r="E5" s="6" t="inlineStr">
        <is>
          <t>2026-05-01T12:00:00Z</t>
        </is>
      </c>
      <c r="F5" s="7" t="n">
        <v>2</v>
      </c>
    </row>
    <row r="6" ht="110" customHeight="1">
      <c r="A6" s="6" t="inlineStr">
        <is>
          <t>Q02_sex</t>
        </is>
      </c>
      <c r="B6" s="6" t="inlineStr">
        <is>
          <t>02_Table1_Demographics</t>
        </is>
      </c>
      <c r="C6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 COUNT(*) FILTER (WHERE LOWER(sex)='female') AS n_female, COUNT(*) FILTER (WHERE LOWER(sex)='male') AS n_male FROM base GROUP BY is_massive;</t>
        </is>
      </c>
      <c r="D6" s="6" t="inlineStr">
        <is>
          <t>manuscript_workspace.cohort_m038_massive_goiter_v1</t>
        </is>
      </c>
      <c r="E6" s="6" t="inlineStr">
        <is>
          <t>2026-05-01T12:00:00Z</t>
        </is>
      </c>
      <c r="F6" s="7" t="n">
        <v>2</v>
      </c>
    </row>
    <row r="7" ht="110" customHeight="1">
      <c r="A7" s="6" t="inlineStr">
        <is>
          <t>Q02_race</t>
        </is>
      </c>
      <c r="B7" s="6" t="inlineStr">
        <is>
          <t>02_Table1_Demographics + 08_Race_Detail</t>
        </is>
      </c>
      <c r="C7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 race, COUNT(*) FROM base GROUP BY is_massive, race ORDER BY is_massive DESC, COUNT(*) DESC;</t>
        </is>
      </c>
      <c r="D7" s="6" t="inlineStr">
        <is>
          <t>manuscript_workspace.cohort_m038_massive_goiter_v1</t>
        </is>
      </c>
      <c r="E7" s="6" t="inlineStr">
        <is>
          <t>2026-05-01T12:00:00Z</t>
        </is>
      </c>
      <c r="F7" s="7" t="n">
        <v>18</v>
      </c>
    </row>
    <row r="8" ht="110" customHeight="1">
      <c r="A8" s="6" t="inlineStr">
        <is>
          <t>Q02_bmi</t>
        </is>
      </c>
      <c r="B8" s="6" t="inlineStr">
        <is>
          <t>02_Table1_Demographics</t>
        </is>
      </c>
      <c r="C8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 COUNT(bmi_combined), AVG(bmi_combined), MEDIAN(bmi_combined), QUANTILE_CONT(bmi_combined, 0.25), QUANTILE_CONT(bmi_combined, 0.75) FROM base GROUP BY is_massive;</t>
        </is>
      </c>
      <c r="D8" s="6" t="inlineStr">
        <is>
          <t>manuscript_workspace.cohort_m038_massive_goiter_v1</t>
        </is>
      </c>
      <c r="E8" s="6" t="inlineStr">
        <is>
          <t>2026-05-01T12:00:00Z</t>
        </is>
      </c>
      <c r="F8" s="7" t="n">
        <v>2</v>
      </c>
    </row>
    <row r="9" ht="110" customHeight="1">
      <c r="A9" s="6" t="inlineStr">
        <is>
          <t>Q02_pmhx</t>
        </is>
      </c>
      <c r="B9" s="6" t="inlineStr">
        <is>
          <t>02_Table1_Demographics</t>
        </is>
      </c>
      <c r="C9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 COUNT(*) FILTER (WHERE pmhx_nlp_hypertension), COUNT(*) FILTER (WHERE pmhx_nlp_diabetes), COUNT(*) FILTER (WHERE pmhx_nlp_cad), COUNT(*) FILTER (WHERE pmhx_nlp_ckd), COUNT(*) FILTER (WHERE pmhx_nlp_copd), AVG(pmhx_nlp_n_comorbidities) FROM base GROUP BY is_massive;</t>
        </is>
      </c>
      <c r="D9" s="6" t="inlineStr">
        <is>
          <t>manuscript_workspace.cohort_m038_massive_goiter_v1</t>
        </is>
      </c>
      <c r="E9" s="6" t="inlineStr">
        <is>
          <t>2026-05-01T12:00:00Z</t>
        </is>
      </c>
      <c r="F9" s="7" t="n">
        <v>2</v>
      </c>
    </row>
    <row r="10" ht="110" customHeight="1">
      <c r="A10" s="6" t="inlineStr">
        <is>
          <t>Q02_thyhx</t>
        </is>
      </c>
      <c r="B10" s="6" t="inlineStr">
        <is>
          <t>02_Table1_Demographics</t>
        </is>
      </c>
      <c r="C10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 COUNT(*) FILTER (WHERE syn_graves), COUNT(*) FILTER (WHERE syn_hashimoto), COUNT(*) FILTER (WHERE pshx_nlp_prior_thyroidectomy), COUNT(*) FILTER (WHERE pshx_nlp_prior_neck_surgery) FROM base GROUP BY is_massive;</t>
        </is>
      </c>
      <c r="D10" s="6" t="inlineStr">
        <is>
          <t>manuscript_workspace.cohort_m038_massive_goiter_v1</t>
        </is>
      </c>
      <c r="E10" s="6" t="inlineStr">
        <is>
          <t>2026-05-01T12:00:00Z</t>
        </is>
      </c>
      <c r="F10" s="7" t="n">
        <v>2</v>
      </c>
    </row>
    <row r="11" ht="110" customHeight="1">
      <c r="A11" s="6" t="inlineStr">
        <is>
          <t>Q02_asa / Q09_asa</t>
        </is>
      </c>
      <c r="B11" s="6" t="inlineStr">
        <is>
          <t>02_Table1_Demographics + 09_ASA_Detail</t>
        </is>
      </c>
      <c r="C11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 nsqip_asa_class, COUNT(*) FROM base WHERE nsqip_asa_class IS NOT NULL GROUP BY is_massive, nsqip_asa_class ORDER BY is_massive DESC, nsqip_asa_class;</t>
        </is>
      </c>
      <c r="D11" s="6" t="inlineStr">
        <is>
          <t>manuscript_workspace.cohort_m038_massive_goiter_v1</t>
        </is>
      </c>
      <c r="E11" s="6" t="inlineStr">
        <is>
          <t>2026-05-01T12:00:00Z</t>
        </is>
      </c>
      <c r="F11" s="7" t="n">
        <v>8</v>
      </c>
    </row>
    <row r="12" ht="110" customHeight="1">
      <c r="A12" s="6" t="inlineStr">
        <is>
          <t>Q02_era</t>
        </is>
      </c>
      <c r="B12" s="6" t="inlineStr">
        <is>
          <t>02_Table1_Demographics + 06_Era_Stratification</t>
        </is>
      </c>
      <c r="C12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is_massive,
    CASE
      WHEN surg_first_date IS NULL THEN 'unknown'
      WHEN surg_first_date &lt;= '2004-12-31' THEN '1999-2004'
      WHEN surg_first_date &lt;= '2009-12-31' THEN '2005-2009'
      WHEN surg_first_date &lt;= '2014-12-31' THEN '2010-2014'
      WHEN surg_first_date &lt;= '2019-12-31' THEN '2015-2019'
      ELSE '2020-2025'
    END AS era
  FROM manuscript_workspace.cohort_m038_massive_goiter_v1
)
SELECT era, COUNT(*) AS n_total, COUNT(*) FILTER (WHERE is_massive) AS n_massive FROM base GROUP BY era ORDER BY era;</t>
        </is>
      </c>
      <c r="D12" s="6" t="inlineStr">
        <is>
          <t>manuscript_workspace.cohort_m038_massive_goiter_v1</t>
        </is>
      </c>
      <c r="E12" s="6" t="inlineStr">
        <is>
          <t>2026-05-01T12:00:00Z</t>
        </is>
      </c>
      <c r="F12" s="7" t="n">
        <v>6</v>
      </c>
    </row>
    <row r="13" ht="110" customHeight="1">
      <c r="A13" s="6" t="inlineStr">
        <is>
          <t>Q02_path / Q02_fu</t>
        </is>
      </c>
      <c r="B13" s="6" t="inlineStr">
        <is>
          <t>02_Table1_Demographics</t>
        </is>
      </c>
      <c r="C13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 COUNT(*) FILTER (WHERE is_malignant), COUNT(*) FILTER (WHERE bilateral_disease_flag), AVG(followup_years), COUNT(*) FILTER (WHERE followup_years &gt; 0), AVG(followup_years) FILTER (WHERE followup_years &gt; 0) FROM base GROUP BY is_massive;</t>
        </is>
      </c>
      <c r="D13" s="6" t="inlineStr">
        <is>
          <t>manuscript_workspace.cohort_m038_massive_goiter_v1</t>
        </is>
      </c>
      <c r="E13" s="6" t="inlineStr">
        <is>
          <t>2026-05-01T12:00:00Z</t>
        </is>
      </c>
      <c r="F13" s="7" t="n">
        <v>2</v>
      </c>
    </row>
    <row r="14" ht="110" customHeight="1">
      <c r="A14" s="6" t="inlineStr">
        <is>
          <t>Q03_histology</t>
        </is>
      </c>
      <c r="B14" s="6" t="inlineStr">
        <is>
          <t>03_Table2_Histology</t>
        </is>
      </c>
      <c r="C14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histology_final, COUNT(*) FROM base WHERE is_massive AND is_malignant GROUP BY histology_final ORDER BY COUNT(*) DESC;</t>
        </is>
      </c>
      <c r="D14" s="6" t="inlineStr">
        <is>
          <t>manuscript_workspace.cohort_m038_massive_goiter_v1</t>
        </is>
      </c>
      <c r="E14" s="6" t="inlineStr">
        <is>
          <t>2026-05-01T12:00:00Z</t>
        </is>
      </c>
      <c r="F14" s="7" t="n">
        <v>21</v>
      </c>
    </row>
    <row r="15" ht="110" customHeight="1">
      <c r="A15" s="6" t="inlineStr">
        <is>
          <t>Q04_proctype</t>
        </is>
      </c>
      <c r="B15" s="6" t="inlineStr">
        <is>
          <t>04_Table3_Procedure_OpContext</t>
        </is>
      </c>
      <c r="C15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 surg_procedure_type, COUNT(*) FROM base GROUP BY is_massive, surg_procedure_type ORDER BY is_massive DESC, COUNT(*) DESC;</t>
        </is>
      </c>
      <c r="D15" s="6" t="inlineStr">
        <is>
          <t>manuscript_workspace.cohort_m038_massive_goiter_v1</t>
        </is>
      </c>
      <c r="E15" s="6" t="inlineStr">
        <is>
          <t>2026-05-01T12:00:00Z</t>
        </is>
      </c>
      <c r="F15" s="7" t="n">
        <v>10</v>
      </c>
    </row>
    <row r="16" ht="110" customHeight="1">
      <c r="A16" s="6" t="inlineStr">
        <is>
          <t>Q04_opctx</t>
        </is>
      </c>
      <c r="B16" s="6" t="inlineStr">
        <is>
          <t>04_Table3_Procedure_OpContext</t>
        </is>
      </c>
      <c r="C16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
  COUNT(*) FILTER (WHERE LOWER(nsqip_central_neck_dissection) IN ('yes','y','true','1')) AS n_cnd,
  COUNT(*) FILTER (WHERE LOWER(nsqip_lateral_neck_dissection) IN ('yes','y','true','1')) AS n_lnd,
  AVG(nsqip_operative_duration_min), MEDIAN(nsqip_operative_duration_min),
  AVG(nsqip_length_of_stay_days), MEDIAN(nsqip_length_of_stay_days),
  COUNT(*) FILTER (WHERE nsqip_transfusion &gt;= 1),
  COUNT(*) FILTER (WHERE nsqip_unplanned_intubation &gt;= 1),
  COUNT(*) FILTER (WHERE nsqip_readmission_30d_flag = 1),
  COUNT(*) FILTER (WHERE proc_nlp_tracheostomy)
FROM base GROUP BY is_massive;</t>
        </is>
      </c>
      <c r="D16" s="6" t="inlineStr">
        <is>
          <t>manuscript_workspace.cohort_m038_massive_goiter_v1</t>
        </is>
      </c>
      <c r="E16" s="6" t="inlineStr">
        <is>
          <t>2026-05-01T12:00:00Z</t>
        </is>
      </c>
      <c r="F16" s="7" t="n">
        <v>2</v>
      </c>
    </row>
    <row r="17" ht="110" customHeight="1">
      <c r="A17" s="6" t="inlineStr">
        <is>
          <t>Q05_comps</t>
        </is>
      </c>
      <c r="B17" s="6" t="inlineStr">
        <is>
          <t>05_Table4_Complications</t>
        </is>
      </c>
      <c r="C17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
  FROM manuscript_workspace.cohort_m038_massive_goiter_v1
)
SELECT is_massive,
  COUNT(*) FILTER (WHERE any_confirmed_complication_flag) AS n_any,
  COUNT(*) FILTER (WHERE comp_rln_injury_confirmed) AS n_rln,
  COUNT(*) FILTER (WHERE comp_hematoma_confirmed) AS n_hematoma,
  COUNT(*) FILTER (WHERE comp_seroma_confirmed) AS n_seroma,
  COUNT(*) FILTER (WHERE comp_chyle_leak_confirmed) AS n_chyle,
  COUNT(*) FILTER (WHERE comp_vc_paresis_confirmed) AS n_vcparesis,
  COUNT(*) FILTER (WHERE comp_vc_paralysis_confirmed) AS n_vcparalysis,
  COUNT(*) FILTER (WHERE comp_hypocalcemia_confirmed) AS n_hypocalcemia,
  COUNT(*) FILTER (WHERE comp_hypoparathyroidism_confirmed) AS n_hypopara,
  COUNT(*) FILTER (WHERE death_occurred) AS n_death
FROM base GROUP BY is_massive;</t>
        </is>
      </c>
      <c r="D17" s="6" t="inlineStr">
        <is>
          <t>manuscript_workspace.cohort_m038_massive_goiter_v1</t>
        </is>
      </c>
      <c r="E17" s="6" t="inlineStr">
        <is>
          <t>2026-05-01T12:00:00Z</t>
        </is>
      </c>
      <c r="F17" s="7" t="n">
        <v>2</v>
      </c>
    </row>
    <row r="18" ht="110" customHeight="1">
      <c r="A18" s="6" t="inlineStr">
        <is>
          <t>Q06_era</t>
        </is>
      </c>
      <c r="B18" s="6" t="inlineStr">
        <is>
          <t>06_Era_Stratification</t>
        </is>
      </c>
      <c r="C18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is_massive,
    CASE
      WHEN surg_first_date IS NULL THEN 'unknown'
      WHEN surg_first_date &lt;= '2004-12-31' THEN '1999-2004'
      WHEN surg_first_date &lt;= '2009-12-31' THEN '2005-2009'
      WHEN surg_first_date &lt;= '2014-12-31' THEN '2010-2014'
      WHEN surg_first_date &lt;= '2019-12-31' THEN '2015-2019'
      ELSE '2020-2025'
    END AS era
  FROM manuscript_workspace.cohort_m038_massive_goiter_v1
)
SELECT era, COUNT(*) AS n_total, COUNT(*) FILTER (WHERE is_massive) AS n_massive, COUNT(*) FILTER (WHERE NOT is_massive) AS n_nonmassive FROM base GROUP BY era ORDER BY era;</t>
        </is>
      </c>
      <c r="D18" s="6" t="inlineStr">
        <is>
          <t>manuscript_workspace.cohort_m038_massive_goiter_v1</t>
        </is>
      </c>
      <c r="E18" s="6" t="inlineStr">
        <is>
          <t>2026-05-01T12:00:00Z</t>
        </is>
      </c>
      <c r="F18" s="7" t="n">
        <v>6</v>
      </c>
    </row>
    <row r="19" ht="110" customHeight="1">
      <c r="A19" s="6" t="inlineStr">
        <is>
          <t>Q07_coverage</t>
        </is>
      </c>
      <c r="B19" s="6" t="inlineStr">
        <is>
          <t>07_Component_Coverage</t>
        </is>
      </c>
      <c r="C19" s="15" t="inlineStr">
        <is>
          <t>WITH base AS (
  SELECT *,
    (COALESCE(gland_weight_final_g &gt;= 100, FALSE)
     OR COALESCE(ct_substernal_extension_any, FALSE) OR COALESCE(mri_substernal_any, FALSE)
     OR COALESCE(ct_tracheal_deviation_any, FALSE) OR COALESCE(ct_tracheal_narrowing_any, FALSE) OR COALESCE(ct_airway_compromise_any, FALSE)) AS is_massive,
    CASE
      WHEN surg_first_date IS NULL THEN 'unknown'
      WHEN surg_first_date &lt;= '2004-12-31' THEN '1999-2004'
      WHEN surg_first_date &lt;= '2009-12-31' THEN '2005-2009'
      WHEN surg_first_date &lt;= '2014-12-31' THEN '2010-2014'
      WHEN surg_first_date &lt;= '2019-12-31' THEN '2015-2019'
      ELSE '2020-2025'
    END AS era
  FROM manuscript_workspace.cohort_m038_massive_goiter_v1
)
SELECT era, is_massive, COUNT(*) AS n,
  COUNT(gland_weight_final_g) AS n_glandwt_known,
  COUNT(*) FILTER (WHERE ct_substernal_extension_any IS NOT NULL) AS n_ct_subst_known,
  COUNT(*) FILTER (WHERE mri_substernal_any IS NOT NULL) AS n_mri_subst_known,
  COUNT(*) FILTER (WHERE ct_tracheal_deviation_any IS NOT NULL) AS n_ct_trach_dev_known,
  COUNT(*) FILTER (WHERE ct_tracheal_narrowing_any IS NOT NULL) AS n_ct_trach_narr_known,
  COUNT(*) FILTER (WHERE ct_airway_compromise_any IS NOT NULL) AS n_ct_airway_known
FROM base GROUP BY era, is_massive ORDER BY era, is_massive DESC;</t>
        </is>
      </c>
      <c r="D19" s="6" t="inlineStr">
        <is>
          <t>manuscript_workspace.cohort_m038_massive_goiter_v1</t>
        </is>
      </c>
      <c r="E19" s="6" t="inlineStr">
        <is>
          <t>2026-05-01T12:00:00Z</t>
        </is>
      </c>
      <c r="F19" s="7" t="n">
        <v>12</v>
      </c>
    </row>
    <row r="20" ht="110" customHeight="1">
      <c r="A20" s="6" t="inlineStr">
        <is>
          <t>Q08_race</t>
        </is>
      </c>
      <c r="B20" s="6" t="inlineStr">
        <is>
          <t>08_Race_Detail</t>
        </is>
      </c>
      <c r="C20" s="15" t="inlineStr">
        <is>
          <t>(see Q02_race — same query)</t>
        </is>
      </c>
      <c r="D20" s="6" t="inlineStr">
        <is>
          <t>manuscript_workspace.cohort_m038_massive_goiter_v1</t>
        </is>
      </c>
      <c r="E20" s="6" t="inlineStr">
        <is>
          <t>2026-05-01T12:00:00Z</t>
        </is>
      </c>
      <c r="F20" s="7" t="n">
        <v>18</v>
      </c>
    </row>
    <row r="21" ht="110" customHeight="1">
      <c r="A21" s="6" t="inlineStr">
        <is>
          <t>Q09_asa</t>
        </is>
      </c>
      <c r="B21" s="6" t="inlineStr">
        <is>
          <t>09_ASA_Detail</t>
        </is>
      </c>
      <c r="C21" s="15" t="inlineStr">
        <is>
          <t>(see Q02_asa — same query)</t>
        </is>
      </c>
      <c r="D21" s="6" t="inlineStr">
        <is>
          <t>manuscript_workspace.cohort_m038_massive_goiter_v1</t>
        </is>
      </c>
      <c r="E21" s="6" t="inlineStr">
        <is>
          <t>2026-05-01T12:00:00Z</t>
        </is>
      </c>
      <c r="F21" s="7" t="n">
        <v>8</v>
      </c>
    </row>
    <row r="22" ht="110" customHeight="1">
      <c r="A22" s="6" t="inlineStr">
        <is>
          <t>Q05b_hpt_split</t>
        </is>
      </c>
      <c r="B22" s="6" t="inlineStr">
        <is>
          <t>05_Table4_Complications (hypopara split)</t>
        </is>
      </c>
      <c r="C22" s="15" t="inlineStr">
        <is>
          <t>WITH base AS (
  SELECT research_id, (composite is_massive expression) AS is_massive
  FROM manuscript_workspace.cohort_m038_massive_goiter_v1
)
SELECT is_massive,
  COUNT(*) FILTER (WHERE cpm.comp_hypoparathyroidism_confirmed AND cpm.comp_hypoparathyroidism_transient) AS hpt_transient,
  COUNT(*) FILTER (WHERE cpm.comp_hypoparathyroidism_confirmed AND cpm.comp_hypoparathyroidism_permanent) AS hpt_permanent,
  COUNT(*) FILTER (WHERE cpm.comp_hypoparathyroidism_confirmed AND NOT cpm.comp_hypoparathyroidism_transient AND NOT cpm.comp_hypoparathyroidism_permanent) AS hpt_unclassified
FROM base b JOIN main.canonical_patient_master cpm USING (research_id)
GROUP BY is_massive;</t>
        </is>
      </c>
      <c r="D22" s="6" t="inlineStr">
        <is>
          <t>main.canonical_patient_master + cohort_m038_massive_goiter_v1</t>
        </is>
      </c>
      <c r="E22" s="6" t="inlineStr">
        <is>
          <t>2026-05-01T13:00:00Z</t>
        </is>
      </c>
      <c r="F22" s="7" t="n">
        <v>2</v>
      </c>
    </row>
    <row r="23" ht="110" customHeight="1">
      <c r="A23" s="6" t="inlineStr">
        <is>
          <t>Q05b_hca_preop</t>
        </is>
      </c>
      <c r="B23" s="6" t="inlineStr">
        <is>
          <t>05_Table4_Complications (hypocalcemia preop)</t>
        </is>
      </c>
      <c r="C23" s="15" t="inlineStr">
        <is>
          <t>(see Q05b_hpt_split JOIN; FILTER WHERE cpm.comp_hypocalcemia_timing_window = 'pre_surgery')</t>
        </is>
      </c>
      <c r="D23" s="6" t="inlineStr">
        <is>
          <t>main.canonical_patient_master + cohort_m038_massive_goiter_v1</t>
        </is>
      </c>
      <c r="E23" s="6" t="inlineStr">
        <is>
          <t>2026-05-01T13:00:00Z</t>
        </is>
      </c>
      <c r="F23" s="7" t="n">
        <v>2</v>
      </c>
    </row>
    <row r="24" ht="110" customHeight="1">
      <c r="A24" s="6" t="inlineStr">
        <is>
          <t>Q05b_preop_gap</t>
        </is>
      </c>
      <c r="B24" s="6" t="inlineStr">
        <is>
          <t>05_Table4_Complications (RLN/VC preop)</t>
        </is>
      </c>
      <c r="C24" s="15" t="inlineStr">
        <is>
          <t>Encoding gap — no preop column on canonical_patient_master for RLN injury or VC paralysis. Carry-forwards: CF-RLN-PREOP-FLAG, CF-VC-PARALYSIS-PREOP-FLAG.</t>
        </is>
      </c>
      <c r="D24" s="6" t="inlineStr">
        <is>
          <t>main.canonical_patient_master</t>
        </is>
      </c>
      <c r="E24" s="6" t="inlineStr">
        <is>
          <t>2026-05-01T13:00:00Z</t>
        </is>
      </c>
      <c r="F24" s="7" t="n">
        <v>0</v>
      </c>
    </row>
    <row r="25" ht="110" customHeight="1">
      <c r="A25" s="6" t="inlineStr">
        <is>
          <t>Q05b_hpt_preexist</t>
        </is>
      </c>
      <c r="B25" s="6" t="inlineStr">
        <is>
          <t>05_Table4_Complications (hypopara preexisting FYI)</t>
        </is>
      </c>
      <c r="C25" s="15" t="inlineStr">
        <is>
          <t>(see Q05b_hpt_split JOIN; FILTER WHERE cpm.comp_hypoparathyroidism_preexisting)</t>
        </is>
      </c>
      <c r="D25" s="6" t="inlineStr">
        <is>
          <t>main.canonical_patient_master + cohort_m038_massive_goiter_v1</t>
        </is>
      </c>
      <c r="E25" s="6" t="inlineStr">
        <is>
          <t>2026-05-01T13:00:00Z</t>
        </is>
      </c>
      <c r="F25" s="7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38" customWidth="1" min="3" max="3"/>
    <col width="18" customWidth="1" min="4" max="4"/>
    <col width="80" customWidth="1" min="5" max="5"/>
  </cols>
  <sheetData>
    <row r="1">
      <c r="A1" s="4" t="inlineStr">
        <is>
          <t>Per-column inventory of cohort_m038_massive_goiter_v1 (~117 columns post-mig_251), plus rows for variables intentionally not pulled (out-of-scope or reserved for downstream substudies).</t>
        </is>
      </c>
    </row>
    <row r="3">
      <c r="A3" s="5" t="inlineStr">
        <is>
          <t>column_name</t>
        </is>
      </c>
      <c r="B3" s="5" t="inlineStr">
        <is>
          <t>data_type</t>
        </is>
      </c>
      <c r="C3" s="5" t="inlineStr">
        <is>
          <t>source_view</t>
        </is>
      </c>
      <c r="D3" s="5" t="inlineStr">
        <is>
          <t>included_in_M038</t>
        </is>
      </c>
      <c r="E3" s="5" t="inlineStr">
        <is>
          <t>rationale</t>
        </is>
      </c>
    </row>
    <row r="4">
      <c r="A4" s="6" t="inlineStr">
        <is>
          <t>research_id</t>
        </is>
      </c>
      <c r="B4" s="6" t="inlineStr">
        <is>
          <t>VARCHAR</t>
        </is>
      </c>
      <c r="C4" s="6" t="inlineStr">
        <is>
          <t>cohort_m038_massive_goiter_v1</t>
        </is>
      </c>
      <c r="D4" s="6" t="inlineStr">
        <is>
          <t>TRUE</t>
        </is>
      </c>
      <c r="E4" s="6" t="inlineStr">
        <is>
          <t>Patient spine key</t>
        </is>
      </c>
    </row>
    <row r="5">
      <c r="A5" s="6" t="inlineStr">
        <is>
          <t>age_at_surgery</t>
        </is>
      </c>
      <c r="B5" s="6" t="inlineStr">
        <is>
          <t>BIGINT</t>
        </is>
      </c>
      <c r="C5" s="6" t="inlineStr">
        <is>
          <t>cohort_m038_massive_goiter_v1</t>
        </is>
      </c>
      <c r="D5" s="6" t="inlineStr">
        <is>
          <t>TRUE</t>
        </is>
      </c>
      <c r="E5" s="6" t="inlineStr">
        <is>
          <t>Demographics</t>
        </is>
      </c>
    </row>
    <row r="6">
      <c r="A6" s="6" t="inlineStr">
        <is>
          <t>sex</t>
        </is>
      </c>
      <c r="B6" s="6" t="inlineStr">
        <is>
          <t>VARCHAR</t>
        </is>
      </c>
      <c r="C6" s="6" t="inlineStr">
        <is>
          <t>cohort_m038_massive_goiter_v1</t>
        </is>
      </c>
      <c r="D6" s="6" t="inlineStr">
        <is>
          <t>TRUE</t>
        </is>
      </c>
      <c r="E6" s="6" t="inlineStr">
        <is>
          <t>Demographics; values 'female'/'male' lowercase</t>
        </is>
      </c>
    </row>
    <row r="7">
      <c r="A7" s="6" t="inlineStr">
        <is>
          <t>race</t>
        </is>
      </c>
      <c r="B7" s="6" t="inlineStr">
        <is>
          <t>VARCHAR</t>
        </is>
      </c>
      <c r="C7" s="6" t="inlineStr">
        <is>
          <t>cohort_m038_massive_goiter_v1</t>
        </is>
      </c>
      <c r="D7" s="6" t="inlineStr">
        <is>
          <t>TRUE</t>
        </is>
      </c>
      <c r="E7" s="6" t="inlineStr">
        <is>
          <t>Demographics; 9 distinct values + NULL</t>
        </is>
      </c>
    </row>
    <row r="8">
      <c r="A8" s="6" t="inlineStr">
        <is>
          <t>bmi_combined</t>
        </is>
      </c>
      <c r="B8" s="6" t="inlineStr">
        <is>
          <t>DOUBLE</t>
        </is>
      </c>
      <c r="C8" s="6" t="inlineStr">
        <is>
          <t>cohort_m038_massive_goiter_v1</t>
        </is>
      </c>
      <c r="D8" s="6" t="inlineStr">
        <is>
          <t>TRUE</t>
        </is>
      </c>
      <c r="E8" s="6" t="inlineStr">
        <is>
          <t>Demographics; harmonized BMI</t>
        </is>
      </c>
    </row>
    <row r="9">
      <c r="A9" s="6" t="inlineStr">
        <is>
          <t>bmi_source</t>
        </is>
      </c>
      <c r="B9" s="6" t="inlineStr">
        <is>
          <t>VARCHAR</t>
        </is>
      </c>
      <c r="C9" s="6" t="inlineStr">
        <is>
          <t>cohort_m038_massive_goiter_v1</t>
        </is>
      </c>
      <c r="D9" s="6" t="inlineStr">
        <is>
          <t>TRUE</t>
        </is>
      </c>
      <c r="E9" s="6" t="inlineStr">
        <is>
          <t>BMI provenance</t>
        </is>
      </c>
    </row>
    <row r="10">
      <c r="A10" s="6" t="inlineStr">
        <is>
          <t>bmi_missingness_reason</t>
        </is>
      </c>
      <c r="B10" s="6" t="inlineStr">
        <is>
          <t>VARCHAR</t>
        </is>
      </c>
      <c r="C10" s="6" t="inlineStr">
        <is>
          <t>cohort_m038_massive_goiter_v1</t>
        </is>
      </c>
      <c r="D10" s="6" t="inlineStr">
        <is>
          <t>TRUE</t>
        </is>
      </c>
      <c r="E10" s="6" t="inlineStr">
        <is>
          <t>Diagnostic for BMI gaps</t>
        </is>
      </c>
    </row>
    <row r="11">
      <c r="A11" s="6" t="inlineStr">
        <is>
          <t>nsqip_bmi</t>
        </is>
      </c>
      <c r="B11" s="6" t="inlineStr">
        <is>
          <t>DOUBLE</t>
        </is>
      </c>
      <c r="C11" s="6" t="inlineStr">
        <is>
          <t>cohort_m038_massive_goiter_v1</t>
        </is>
      </c>
      <c r="D11" s="6" t="inlineStr">
        <is>
          <t>TRUE</t>
        </is>
      </c>
      <c r="E11" s="6" t="inlineStr">
        <is>
          <t>NSQIP body-metric fallback</t>
        </is>
      </c>
    </row>
    <row r="12">
      <c r="A12" s="6" t="inlineStr">
        <is>
          <t>nsqip_height_in</t>
        </is>
      </c>
      <c r="B12" s="6" t="inlineStr">
        <is>
          <t>DOUBLE</t>
        </is>
      </c>
      <c r="C12" s="6" t="inlineStr">
        <is>
          <t>cohort_m038_massive_goiter_v1</t>
        </is>
      </c>
      <c r="D12" s="6" t="inlineStr">
        <is>
          <t>TRUE</t>
        </is>
      </c>
      <c r="E12" s="6" t="inlineStr">
        <is>
          <t>NSQIP body-metric fallback</t>
        </is>
      </c>
    </row>
    <row r="13">
      <c r="A13" s="6" t="inlineStr">
        <is>
          <t>nsqip_weight_lbs</t>
        </is>
      </c>
      <c r="B13" s="6" t="inlineStr">
        <is>
          <t>DOUBLE</t>
        </is>
      </c>
      <c r="C13" s="6" t="inlineStr">
        <is>
          <t>cohort_m038_massive_goiter_v1</t>
        </is>
      </c>
      <c r="D13" s="6" t="inlineStr">
        <is>
          <t>TRUE</t>
        </is>
      </c>
      <c r="E13" s="6" t="inlineStr">
        <is>
          <t>NSQIP body-metric fallback</t>
        </is>
      </c>
    </row>
    <row r="14">
      <c r="A14" s="6" t="inlineStr">
        <is>
          <t>nsqip_diabetes</t>
        </is>
      </c>
      <c r="B14" s="6" t="inlineStr">
        <is>
          <t>VARCHAR</t>
        </is>
      </c>
      <c r="C14" s="6" t="inlineStr">
        <is>
          <t>cohort_m038_massive_goiter_v1</t>
        </is>
      </c>
      <c r="D14" s="6" t="inlineStr">
        <is>
          <t>TRUE</t>
        </is>
      </c>
      <c r="E14" s="6" t="inlineStr">
        <is>
          <t>Comorbidity, NSQIP</t>
        </is>
      </c>
    </row>
    <row r="15">
      <c r="A15" s="6" t="inlineStr">
        <is>
          <t>nsqip_hypertension</t>
        </is>
      </c>
      <c r="B15" s="6" t="inlineStr">
        <is>
          <t>VARCHAR</t>
        </is>
      </c>
      <c r="C15" s="6" t="inlineStr">
        <is>
          <t>cohort_m038_massive_goiter_v1</t>
        </is>
      </c>
      <c r="D15" s="6" t="inlineStr">
        <is>
          <t>TRUE</t>
        </is>
      </c>
      <c r="E15" s="6" t="inlineStr">
        <is>
          <t>Comorbidity, NSQIP</t>
        </is>
      </c>
    </row>
    <row r="16">
      <c r="A16" s="6" t="inlineStr">
        <is>
          <t>nsqip_copd</t>
        </is>
      </c>
      <c r="B16" s="6" t="inlineStr">
        <is>
          <t>VARCHAR</t>
        </is>
      </c>
      <c r="C16" s="6" t="inlineStr">
        <is>
          <t>cohort_m038_massive_goiter_v1</t>
        </is>
      </c>
      <c r="D16" s="6" t="inlineStr">
        <is>
          <t>TRUE</t>
        </is>
      </c>
      <c r="E16" s="6" t="inlineStr">
        <is>
          <t>Comorbidity, NSQIP</t>
        </is>
      </c>
    </row>
    <row r="17">
      <c r="A17" s="6" t="inlineStr">
        <is>
          <t>nsqip_heart_failure</t>
        </is>
      </c>
      <c r="B17" s="6" t="inlineStr">
        <is>
          <t>VARCHAR</t>
        </is>
      </c>
      <c r="C17" s="6" t="inlineStr">
        <is>
          <t>cohort_m038_massive_goiter_v1</t>
        </is>
      </c>
      <c r="D17" s="6" t="inlineStr">
        <is>
          <t>TRUE</t>
        </is>
      </c>
      <c r="E17" s="6" t="inlineStr">
        <is>
          <t>Comorbidity, NSQIP</t>
        </is>
      </c>
    </row>
    <row r="18">
      <c r="A18" s="6" t="inlineStr">
        <is>
          <t>nsqip_bleeding_disorder</t>
        </is>
      </c>
      <c r="B18" s="6" t="inlineStr">
        <is>
          <t>VARCHAR</t>
        </is>
      </c>
      <c r="C18" s="6" t="inlineStr">
        <is>
          <t>cohort_m038_massive_goiter_v1</t>
        </is>
      </c>
      <c r="D18" s="6" t="inlineStr">
        <is>
          <t>TRUE</t>
        </is>
      </c>
      <c r="E18" s="6" t="inlineStr">
        <is>
          <t>Comorbidity, NSQIP</t>
        </is>
      </c>
    </row>
    <row r="19">
      <c r="A19" s="6" t="inlineStr">
        <is>
          <t>nsqip_disseminated_cancer</t>
        </is>
      </c>
      <c r="B19" s="6" t="inlineStr">
        <is>
          <t>VARCHAR</t>
        </is>
      </c>
      <c r="C19" s="6" t="inlineStr">
        <is>
          <t>cohort_m038_massive_goiter_v1</t>
        </is>
      </c>
      <c r="D19" s="6" t="inlineStr">
        <is>
          <t>TRUE</t>
        </is>
      </c>
      <c r="E19" s="6" t="inlineStr">
        <is>
          <t>Comorbidity, NSQIP</t>
        </is>
      </c>
    </row>
    <row r="20">
      <c r="A20" s="6" t="inlineStr">
        <is>
          <t>nsqip_functional_status</t>
        </is>
      </c>
      <c r="B20" s="6" t="inlineStr">
        <is>
          <t>VARCHAR</t>
        </is>
      </c>
      <c r="C20" s="6" t="inlineStr">
        <is>
          <t>cohort_m038_massive_goiter_v1</t>
        </is>
      </c>
      <c r="D20" s="6" t="inlineStr">
        <is>
          <t>TRUE</t>
        </is>
      </c>
      <c r="E20" s="6" t="inlineStr">
        <is>
          <t>Functional status, NSQIP</t>
        </is>
      </c>
    </row>
    <row r="21">
      <c r="A21" s="6" t="inlineStr">
        <is>
          <t>nsqip_asa_class</t>
        </is>
      </c>
      <c r="B21" s="6" t="inlineStr">
        <is>
          <t>VARCHAR</t>
        </is>
      </c>
      <c r="C21" s="6" t="inlineStr">
        <is>
          <t>cohort_m038_massive_goiter_v1</t>
        </is>
      </c>
      <c r="D21" s="6" t="inlineStr">
        <is>
          <t>TRUE</t>
        </is>
      </c>
      <c r="E21" s="6" t="inlineStr">
        <is>
          <t>ASA class — used Table 1</t>
        </is>
      </c>
    </row>
    <row r="22">
      <c r="A22" s="6" t="inlineStr">
        <is>
          <t>nsqip_smoker</t>
        </is>
      </c>
      <c r="B22" s="6" t="inlineStr">
        <is>
          <t>VARCHAR</t>
        </is>
      </c>
      <c r="C22" s="6" t="inlineStr">
        <is>
          <t>cohort_m038_massive_goiter_v1</t>
        </is>
      </c>
      <c r="D22" s="6" t="inlineStr">
        <is>
          <t>TRUE</t>
        </is>
      </c>
      <c r="E22" s="6" t="inlineStr">
        <is>
          <t>Tobacco use, NSQIP</t>
        </is>
      </c>
    </row>
    <row r="23">
      <c r="A23" s="6" t="inlineStr">
        <is>
          <t>nsqip_tobacco_use</t>
        </is>
      </c>
      <c r="B23" s="6" t="inlineStr">
        <is>
          <t>VARCHAR</t>
        </is>
      </c>
      <c r="C23" s="6" t="inlineStr">
        <is>
          <t>cohort_m038_massive_goiter_v1</t>
        </is>
      </c>
      <c r="D23" s="6" t="inlineStr">
        <is>
          <t>TRUE</t>
        </is>
      </c>
      <c r="E23" s="6" t="inlineStr">
        <is>
          <t>Tobacco use, NSQIP</t>
        </is>
      </c>
    </row>
    <row r="24">
      <c r="A24" s="6" t="inlineStr">
        <is>
          <t>pmhx_nlp_diabetes</t>
        </is>
      </c>
      <c r="B24" s="6" t="inlineStr">
        <is>
          <t>BOOLEAN</t>
        </is>
      </c>
      <c r="C24" s="6" t="inlineStr">
        <is>
          <t>cohort_m038_massive_goiter_v1</t>
        </is>
      </c>
      <c r="D24" s="6" t="inlineStr">
        <is>
          <t>TRUE</t>
        </is>
      </c>
      <c r="E24" s="6" t="inlineStr">
        <is>
          <t>Comorbidity, NLP — used Table 1</t>
        </is>
      </c>
    </row>
    <row r="25">
      <c r="A25" s="6" t="inlineStr">
        <is>
          <t>pmhx_nlp_hypertension</t>
        </is>
      </c>
      <c r="B25" s="6" t="inlineStr">
        <is>
          <t>BOOLEAN</t>
        </is>
      </c>
      <c r="C25" s="6" t="inlineStr">
        <is>
          <t>cohort_m038_massive_goiter_v1</t>
        </is>
      </c>
      <c r="D25" s="6" t="inlineStr">
        <is>
          <t>TRUE</t>
        </is>
      </c>
      <c r="E25" s="6" t="inlineStr">
        <is>
          <t>Comorbidity, NLP — used Table 1</t>
        </is>
      </c>
    </row>
    <row r="26">
      <c r="A26" s="6" t="inlineStr">
        <is>
          <t>pmhx_nlp_cad</t>
        </is>
      </c>
      <c r="B26" s="6" t="inlineStr">
        <is>
          <t>BOOLEAN</t>
        </is>
      </c>
      <c r="C26" s="6" t="inlineStr">
        <is>
          <t>cohort_m038_massive_goiter_v1</t>
        </is>
      </c>
      <c r="D26" s="6" t="inlineStr">
        <is>
          <t>TRUE</t>
        </is>
      </c>
      <c r="E26" s="6" t="inlineStr">
        <is>
          <t>Comorbidity, NLP — used Table 1</t>
        </is>
      </c>
    </row>
    <row r="27">
      <c r="A27" s="6" t="inlineStr">
        <is>
          <t>pmhx_nlp_ckd</t>
        </is>
      </c>
      <c r="B27" s="6" t="inlineStr">
        <is>
          <t>BOOLEAN</t>
        </is>
      </c>
      <c r="C27" s="6" t="inlineStr">
        <is>
          <t>cohort_m038_massive_goiter_v1</t>
        </is>
      </c>
      <c r="D27" s="6" t="inlineStr">
        <is>
          <t>TRUE</t>
        </is>
      </c>
      <c r="E27" s="6" t="inlineStr">
        <is>
          <t>Comorbidity, NLP — used Table 1</t>
        </is>
      </c>
    </row>
    <row r="28">
      <c r="A28" s="6" t="inlineStr">
        <is>
          <t>pmhx_nlp_copd</t>
        </is>
      </c>
      <c r="B28" s="6" t="inlineStr">
        <is>
          <t>BOOLEAN</t>
        </is>
      </c>
      <c r="C28" s="6" t="inlineStr">
        <is>
          <t>cohort_m038_massive_goiter_v1</t>
        </is>
      </c>
      <c r="D28" s="6" t="inlineStr">
        <is>
          <t>TRUE</t>
        </is>
      </c>
      <c r="E28" s="6" t="inlineStr">
        <is>
          <t>Comorbidity, NLP — used Table 1</t>
        </is>
      </c>
    </row>
    <row r="29">
      <c r="A29" s="6" t="inlineStr">
        <is>
          <t>pmhx_nlp_n_comorbidities</t>
        </is>
      </c>
      <c r="B29" s="6" t="inlineStr">
        <is>
          <t>BIGINT</t>
        </is>
      </c>
      <c r="C29" s="6" t="inlineStr">
        <is>
          <t>cohort_m038_massive_goiter_v1</t>
        </is>
      </c>
      <c r="D29" s="6" t="inlineStr">
        <is>
          <t>TRUE</t>
        </is>
      </c>
      <c r="E29" s="6" t="inlineStr">
        <is>
          <t>Comorbidity count, NLP — used Table 1</t>
        </is>
      </c>
    </row>
    <row r="30">
      <c r="A30" s="6" t="inlineStr">
        <is>
          <t>pmhx_nlp_autoimmune_thyroid_hx</t>
        </is>
      </c>
      <c r="B30" s="6" t="inlineStr">
        <is>
          <t>BOOLEAN</t>
        </is>
      </c>
      <c r="C30" s="6" t="inlineStr">
        <is>
          <t>cohort_m038_massive_goiter_v1</t>
        </is>
      </c>
      <c r="D30" s="6" t="inlineStr">
        <is>
          <t>TRUE</t>
        </is>
      </c>
      <c r="E30" s="6" t="inlineStr">
        <is>
          <t>Autoimmune thyroid history, NLP</t>
        </is>
      </c>
    </row>
    <row r="31">
      <c r="A31" s="6" t="inlineStr">
        <is>
          <t>pmhx_nlp_smoking_status</t>
        </is>
      </c>
      <c r="B31" s="6" t="inlineStr">
        <is>
          <t>VARCHAR</t>
        </is>
      </c>
      <c r="C31" s="6" t="inlineStr">
        <is>
          <t>cohort_m038_massive_goiter_v1</t>
        </is>
      </c>
      <c r="D31" s="6" t="inlineStr">
        <is>
          <t>TRUE</t>
        </is>
      </c>
      <c r="E31" s="6" t="inlineStr">
        <is>
          <t>Smoking status, NLP</t>
        </is>
      </c>
    </row>
    <row r="32">
      <c r="A32" s="6" t="inlineStr">
        <is>
          <t>syn_graves</t>
        </is>
      </c>
      <c r="B32" s="6" t="inlineStr">
        <is>
          <t>BOOLEAN</t>
        </is>
      </c>
      <c r="C32" s="6" t="inlineStr">
        <is>
          <t>cohort_m038_massive_goiter_v1</t>
        </is>
      </c>
      <c r="D32" s="6" t="inlineStr">
        <is>
          <t>TRUE</t>
        </is>
      </c>
      <c r="E32" s="6" t="inlineStr">
        <is>
          <t>Synoptic Graves — used Table 1</t>
        </is>
      </c>
    </row>
    <row r="33">
      <c r="A33" s="6" t="inlineStr">
        <is>
          <t>syn_hashimoto</t>
        </is>
      </c>
      <c r="B33" s="6" t="inlineStr">
        <is>
          <t>BOOLEAN</t>
        </is>
      </c>
      <c r="C33" s="6" t="inlineStr">
        <is>
          <t>cohort_m038_massive_goiter_v1</t>
        </is>
      </c>
      <c r="D33" s="6" t="inlineStr">
        <is>
          <t>TRUE</t>
        </is>
      </c>
      <c r="E33" s="6" t="inlineStr">
        <is>
          <t>Synoptic Hashimoto — used Table 1</t>
        </is>
      </c>
    </row>
    <row r="34">
      <c r="A34" s="6" t="inlineStr">
        <is>
          <t>pshx_nlp_prior_thyroidectomy</t>
        </is>
      </c>
      <c r="B34" s="6" t="inlineStr">
        <is>
          <t>BOOLEAN</t>
        </is>
      </c>
      <c r="C34" s="6" t="inlineStr">
        <is>
          <t>cohort_m038_massive_goiter_v1</t>
        </is>
      </c>
      <c r="D34" s="6" t="inlineStr">
        <is>
          <t>TRUE</t>
        </is>
      </c>
      <c r="E34" s="6" t="inlineStr">
        <is>
          <t>Surgical history, NLP — used Table 1</t>
        </is>
      </c>
    </row>
    <row r="35">
      <c r="A35" s="6" t="inlineStr">
        <is>
          <t>pshx_nlp_prior_neck_surgery</t>
        </is>
      </c>
      <c r="B35" s="6" t="inlineStr">
        <is>
          <t>BOOLEAN</t>
        </is>
      </c>
      <c r="C35" s="6" t="inlineStr">
        <is>
          <t>cohort_m038_massive_goiter_v1</t>
        </is>
      </c>
      <c r="D35" s="6" t="inlineStr">
        <is>
          <t>TRUE</t>
        </is>
      </c>
      <c r="E35" s="6" t="inlineStr">
        <is>
          <t>Surgical history, NLP — used Table 1</t>
        </is>
      </c>
    </row>
    <row r="36">
      <c r="A36" s="6" t="inlineStr">
        <is>
          <t>ops_anticoagulation_meds</t>
        </is>
      </c>
      <c r="B36" s="6" t="inlineStr">
        <is>
          <t>VARCHAR</t>
        </is>
      </c>
      <c r="C36" s="6" t="inlineStr">
        <is>
          <t>cohort_m038_massive_goiter_v1</t>
        </is>
      </c>
      <c r="D36" s="6" t="inlineStr">
        <is>
          <t>TRUE</t>
        </is>
      </c>
      <c r="E36" s="6" t="inlineStr">
        <is>
          <t>Medication context</t>
        </is>
      </c>
    </row>
    <row r="37">
      <c r="A37" s="6" t="inlineStr">
        <is>
          <t>surg_first_date</t>
        </is>
      </c>
      <c r="B37" s="6" t="inlineStr">
        <is>
          <t>DATE</t>
        </is>
      </c>
      <c r="C37" s="6" t="inlineStr">
        <is>
          <t>cohort_m038_massive_goiter_v1</t>
        </is>
      </c>
      <c r="D37" s="6" t="inlineStr">
        <is>
          <t>TRUE</t>
        </is>
      </c>
      <c r="E37" s="6" t="inlineStr">
        <is>
          <t>Era stratification — used §3.6</t>
        </is>
      </c>
    </row>
    <row r="38">
      <c r="A38" s="6" t="inlineStr">
        <is>
          <t>surg_procedure_type</t>
        </is>
      </c>
      <c r="B38" s="6" t="inlineStr">
        <is>
          <t>VARCHAR</t>
        </is>
      </c>
      <c r="C38" s="6" t="inlineStr">
        <is>
          <t>cohort_m038_massive_goiter_v1</t>
        </is>
      </c>
      <c r="D38" s="6" t="inlineStr">
        <is>
          <t>TRUE</t>
        </is>
      </c>
      <c r="E38" s="6" t="inlineStr">
        <is>
          <t>Procedure type — used Table 3 (post-mig_253)</t>
        </is>
      </c>
    </row>
    <row r="39">
      <c r="A39" s="6" t="inlineStr">
        <is>
          <t>surg_total_thyroidectomy</t>
        </is>
      </c>
      <c r="B39" s="6" t="inlineStr">
        <is>
          <t>BOOLEAN</t>
        </is>
      </c>
      <c r="C39" s="6" t="inlineStr">
        <is>
          <t>cohort_m038_massive_goiter_v1</t>
        </is>
      </c>
      <c r="D39" s="6" t="inlineStr">
        <is>
          <t>TRUE</t>
        </is>
      </c>
      <c r="E39" s="6" t="inlineStr">
        <is>
          <t>Boolean rollup of procedure type</t>
        </is>
      </c>
    </row>
    <row r="40">
      <c r="A40" s="6" t="inlineStr">
        <is>
          <t>surg_hemithyroidectomy</t>
        </is>
      </c>
      <c r="B40" s="6" t="inlineStr">
        <is>
          <t>BOOLEAN</t>
        </is>
      </c>
      <c r="C40" s="6" t="inlineStr">
        <is>
          <t>cohort_m038_massive_goiter_v1</t>
        </is>
      </c>
      <c r="D40" s="6" t="inlineStr">
        <is>
          <t>TRUE</t>
        </is>
      </c>
      <c r="E40" s="6" t="inlineStr">
        <is>
          <t>Boolean rollup of procedure type</t>
        </is>
      </c>
    </row>
    <row r="41">
      <c r="A41" s="6" t="inlineStr">
        <is>
          <t>surg_n_procedures</t>
        </is>
      </c>
      <c r="B41" s="6" t="inlineStr">
        <is>
          <t>BIGINT</t>
        </is>
      </c>
      <c r="C41" s="6" t="inlineStr">
        <is>
          <t>cohort_m038_massive_goiter_v1</t>
        </is>
      </c>
      <c r="D41" s="6" t="inlineStr">
        <is>
          <t>TRUE</t>
        </is>
      </c>
      <c r="E41" s="6" t="inlineStr">
        <is>
          <t>Operative episodes count</t>
        </is>
      </c>
    </row>
    <row r="42">
      <c r="A42" s="6" t="inlineStr">
        <is>
          <t>nsqip_central_neck_dissection</t>
        </is>
      </c>
      <c r="B42" s="6" t="inlineStr">
        <is>
          <t>VARCHAR</t>
        </is>
      </c>
      <c r="C42" s="6" t="inlineStr">
        <is>
          <t>cohort_m038_massive_goiter_v1</t>
        </is>
      </c>
      <c r="D42" s="6" t="inlineStr">
        <is>
          <t>TRUE</t>
        </is>
      </c>
      <c r="E42" s="6" t="inlineStr">
        <is>
          <t>Op context — used Table 3</t>
        </is>
      </c>
    </row>
    <row r="43">
      <c r="A43" s="6" t="inlineStr">
        <is>
          <t>nsqip_lateral_neck_dissection</t>
        </is>
      </c>
      <c r="B43" s="6" t="inlineStr">
        <is>
          <t>VARCHAR</t>
        </is>
      </c>
      <c r="C43" s="6" t="inlineStr">
        <is>
          <t>cohort_m038_massive_goiter_v1</t>
        </is>
      </c>
      <c r="D43" s="6" t="inlineStr">
        <is>
          <t>TRUE</t>
        </is>
      </c>
      <c r="E43" s="6" t="inlineStr">
        <is>
          <t>Op context — used Table 3</t>
        </is>
      </c>
    </row>
    <row r="44">
      <c r="A44" s="6" t="inlineStr">
        <is>
          <t>nsqip_operative_approach</t>
        </is>
      </c>
      <c r="B44" s="6" t="inlineStr">
        <is>
          <t>VARCHAR</t>
        </is>
      </c>
      <c r="C44" s="6" t="inlineStr">
        <is>
          <t>cohort_m038_massive_goiter_v1</t>
        </is>
      </c>
      <c r="D44" s="6" t="inlineStr">
        <is>
          <t>TRUE</t>
        </is>
      </c>
      <c r="E44" s="6" t="inlineStr">
        <is>
          <t>Op approach</t>
        </is>
      </c>
    </row>
    <row r="45">
      <c r="A45" s="6" t="inlineStr">
        <is>
          <t>nsqip_operative_duration_min</t>
        </is>
      </c>
      <c r="B45" s="6" t="inlineStr">
        <is>
          <t>BIGINT</t>
        </is>
      </c>
      <c r="C45" s="6" t="inlineStr">
        <is>
          <t>cohort_m038_massive_goiter_v1</t>
        </is>
      </c>
      <c r="D45" s="6" t="inlineStr">
        <is>
          <t>TRUE</t>
        </is>
      </c>
      <c r="E45" s="6" t="inlineStr">
        <is>
          <t>Op duration — used Table 3</t>
        </is>
      </c>
    </row>
    <row r="46">
      <c r="A46" s="6" t="inlineStr">
        <is>
          <t>nsqip_drain_usage</t>
        </is>
      </c>
      <c r="B46" s="6" t="inlineStr">
        <is>
          <t>VARCHAR</t>
        </is>
      </c>
      <c r="C46" s="6" t="inlineStr">
        <is>
          <t>cohort_m038_massive_goiter_v1</t>
        </is>
      </c>
      <c r="D46" s="6" t="inlineStr">
        <is>
          <t>TRUE</t>
        </is>
      </c>
      <c r="E46" s="6" t="inlineStr">
        <is>
          <t>Drain usage</t>
        </is>
      </c>
    </row>
    <row r="47">
      <c r="A47" s="6" t="inlineStr">
        <is>
          <t>nsqip_vessel_sealant</t>
        </is>
      </c>
      <c r="B47" s="6" t="inlineStr">
        <is>
          <t>VARCHAR</t>
        </is>
      </c>
      <c r="C47" s="6" t="inlineStr">
        <is>
          <t>cohort_m038_massive_goiter_v1</t>
        </is>
      </c>
      <c r="D47" s="6" t="inlineStr">
        <is>
          <t>TRUE</t>
        </is>
      </c>
      <c r="E47" s="6" t="inlineStr">
        <is>
          <t>Vessel sealant</t>
        </is>
      </c>
    </row>
    <row r="48">
      <c r="A48" s="6" t="inlineStr">
        <is>
          <t>nsqip_rln_monitoring</t>
        </is>
      </c>
      <c r="B48" s="6" t="inlineStr">
        <is>
          <t>VARCHAR</t>
        </is>
      </c>
      <c r="C48" s="6" t="inlineStr">
        <is>
          <t>cohort_m038_massive_goiter_v1</t>
        </is>
      </c>
      <c r="D48" s="6" t="inlineStr">
        <is>
          <t>TRUE</t>
        </is>
      </c>
      <c r="E48" s="6" t="inlineStr">
        <is>
          <t>RLN monitoring</t>
        </is>
      </c>
    </row>
    <row r="49">
      <c r="A49" s="6" t="inlineStr">
        <is>
          <t>ops_difficult_airway</t>
        </is>
      </c>
      <c r="B49" s="6" t="inlineStr">
        <is>
          <t>VARCHAR</t>
        </is>
      </c>
      <c r="C49" s="6" t="inlineStr">
        <is>
          <t>cohort_m038_massive_goiter_v1</t>
        </is>
      </c>
      <c r="D49" s="6" t="inlineStr">
        <is>
          <t>TRUE</t>
        </is>
      </c>
      <c r="E49" s="6" t="inlineStr">
        <is>
          <t>Difficult airway flag</t>
        </is>
      </c>
    </row>
    <row r="50">
      <c r="A50" s="6" t="inlineStr">
        <is>
          <t>ops_surgeon</t>
        </is>
      </c>
      <c r="B50" s="6" t="inlineStr">
        <is>
          <t>VARCHAR</t>
        </is>
      </c>
      <c r="C50" s="6" t="inlineStr">
        <is>
          <t>cohort_m038_massive_goiter_v1</t>
        </is>
      </c>
      <c r="D50" s="6" t="inlineStr">
        <is>
          <t>TRUE</t>
        </is>
      </c>
      <c r="E50" s="6" t="inlineStr">
        <is>
          <t>Operating surgeon</t>
        </is>
      </c>
    </row>
    <row r="51">
      <c r="A51" s="6" t="inlineStr">
        <is>
          <t>ops_surg_date</t>
        </is>
      </c>
      <c r="B51" s="6" t="inlineStr">
        <is>
          <t>DATE</t>
        </is>
      </c>
      <c r="C51" s="6" t="inlineStr">
        <is>
          <t>cohort_m038_massive_goiter_v1</t>
        </is>
      </c>
      <c r="D51" s="6" t="inlineStr">
        <is>
          <t>TRUE</t>
        </is>
      </c>
      <c r="E51" s="6" t="inlineStr">
        <is>
          <t>Operative date (alt)</t>
        </is>
      </c>
    </row>
    <row r="52">
      <c r="A52" s="6" t="inlineStr">
        <is>
          <t>nsqip_inpatient_outpatient</t>
        </is>
      </c>
      <c r="B52" s="6" t="inlineStr">
        <is>
          <t>VARCHAR</t>
        </is>
      </c>
      <c r="C52" s="6" t="inlineStr">
        <is>
          <t>cohort_m038_massive_goiter_v1</t>
        </is>
      </c>
      <c r="D52" s="6" t="inlineStr">
        <is>
          <t>TRUE</t>
        </is>
      </c>
      <c r="E52" s="6" t="inlineStr">
        <is>
          <t>Disposition</t>
        </is>
      </c>
    </row>
    <row r="53">
      <c r="A53" s="6" t="inlineStr">
        <is>
          <t>nsqip_same_day_discharge_flag</t>
        </is>
      </c>
      <c r="B53" s="6" t="inlineStr">
        <is>
          <t>BIGINT</t>
        </is>
      </c>
      <c r="C53" s="6" t="inlineStr">
        <is>
          <t>cohort_m038_massive_goiter_v1</t>
        </is>
      </c>
      <c r="D53" s="6" t="inlineStr">
        <is>
          <t>TRUE</t>
        </is>
      </c>
      <c r="E53" s="6" t="inlineStr">
        <is>
          <t>Same-day discharge</t>
        </is>
      </c>
    </row>
    <row r="54">
      <c r="A54" s="6" t="inlineStr">
        <is>
          <t>nsqip_primary_indication</t>
        </is>
      </c>
      <c r="B54" s="6" t="inlineStr">
        <is>
          <t>VARCHAR</t>
        </is>
      </c>
      <c r="C54" s="6" t="inlineStr">
        <is>
          <t>cohort_m038_massive_goiter_v1</t>
        </is>
      </c>
      <c r="D54" s="6" t="inlineStr">
        <is>
          <t>TRUE</t>
        </is>
      </c>
      <c r="E54" s="6" t="inlineStr">
        <is>
          <t>Primary indication</t>
        </is>
      </c>
    </row>
    <row r="55">
      <c r="A55" s="6" t="inlineStr">
        <is>
          <t>gland_weight_final_g</t>
        </is>
      </c>
      <c r="B55" s="6" t="inlineStr">
        <is>
          <t>DOUBLE</t>
        </is>
      </c>
      <c r="C55" s="6" t="inlineStr">
        <is>
          <t>cohort_m038_massive_goiter_v1</t>
        </is>
      </c>
      <c r="D55" s="6" t="inlineStr">
        <is>
          <t>TRUE</t>
        </is>
      </c>
      <c r="E55" s="6" t="inlineStr">
        <is>
          <t>Composite-flag component (weight ≥100 g)</t>
        </is>
      </c>
    </row>
    <row r="56">
      <c r="A56" s="6" t="inlineStr">
        <is>
          <t>gland_weight_total_reported_g</t>
        </is>
      </c>
      <c r="B56" s="6" t="inlineStr">
        <is>
          <t>DOUBLE</t>
        </is>
      </c>
      <c r="C56" s="6" t="inlineStr">
        <is>
          <t>cohort_m038_massive_goiter_v1</t>
        </is>
      </c>
      <c r="D56" s="6" t="inlineStr">
        <is>
          <t>TRUE</t>
        </is>
      </c>
      <c r="E56" s="6" t="inlineStr">
        <is>
          <t>Pre-harmonization weight</t>
        </is>
      </c>
    </row>
    <row r="57">
      <c r="A57" s="6" t="inlineStr">
        <is>
          <t>ct_substernal_extension_any</t>
        </is>
      </c>
      <c r="B57" s="6" t="inlineStr">
        <is>
          <t>BOOLEAN</t>
        </is>
      </c>
      <c r="C57" s="6" t="inlineStr">
        <is>
          <t>cohort_m038_massive_goiter_v1</t>
        </is>
      </c>
      <c r="D57" s="6" t="inlineStr">
        <is>
          <t>TRUE</t>
        </is>
      </c>
      <c r="E57" s="6" t="inlineStr">
        <is>
          <t>Composite-flag component (substernal CT)</t>
        </is>
      </c>
    </row>
    <row r="58">
      <c r="A58" s="6" t="inlineStr">
        <is>
          <t>mri_substernal_any</t>
        </is>
      </c>
      <c r="B58" s="6" t="inlineStr">
        <is>
          <t>BOOLEAN</t>
        </is>
      </c>
      <c r="C58" s="6" t="inlineStr">
        <is>
          <t>cohort_m038_massive_goiter_v1</t>
        </is>
      </c>
      <c r="D58" s="6" t="inlineStr">
        <is>
          <t>TRUE</t>
        </is>
      </c>
      <c r="E58" s="6" t="inlineStr">
        <is>
          <t>Composite-flag component (substernal MRI)</t>
        </is>
      </c>
    </row>
    <row r="59">
      <c r="A59" s="6" t="inlineStr">
        <is>
          <t>ct_tracheal_deviation_any</t>
        </is>
      </c>
      <c r="B59" s="6" t="inlineStr">
        <is>
          <t>BOOLEAN</t>
        </is>
      </c>
      <c r="C59" s="6" t="inlineStr">
        <is>
          <t>cohort_m038_massive_goiter_v1</t>
        </is>
      </c>
      <c r="D59" s="6" t="inlineStr">
        <is>
          <t>TRUE</t>
        </is>
      </c>
      <c r="E59" s="6" t="inlineStr">
        <is>
          <t>Composite-flag component (airway)</t>
        </is>
      </c>
    </row>
    <row r="60">
      <c r="A60" s="6" t="inlineStr">
        <is>
          <t>ct_tracheal_narrowing_any</t>
        </is>
      </c>
      <c r="B60" s="6" t="inlineStr">
        <is>
          <t>BOOLEAN</t>
        </is>
      </c>
      <c r="C60" s="6" t="inlineStr">
        <is>
          <t>cohort_m038_massive_goiter_v1</t>
        </is>
      </c>
      <c r="D60" s="6" t="inlineStr">
        <is>
          <t>TRUE</t>
        </is>
      </c>
      <c r="E60" s="6" t="inlineStr">
        <is>
          <t>Composite-flag component (airway)</t>
        </is>
      </c>
    </row>
    <row r="61">
      <c r="A61" s="6" t="inlineStr">
        <is>
          <t>ct_airway_compromise_any</t>
        </is>
      </c>
      <c r="B61" s="6" t="inlineStr">
        <is>
          <t>BOOLEAN</t>
        </is>
      </c>
      <c r="C61" s="6" t="inlineStr">
        <is>
          <t>cohort_m038_massive_goiter_v1</t>
        </is>
      </c>
      <c r="D61" s="6" t="inlineStr">
        <is>
          <t>TRUE</t>
        </is>
      </c>
      <c r="E61" s="6" t="inlineStr">
        <is>
          <t>Composite-flag component (airway)</t>
        </is>
      </c>
    </row>
    <row r="62">
      <c r="A62" s="6" t="inlineStr">
        <is>
          <t>ct_goiter_present_any</t>
        </is>
      </c>
      <c r="B62" s="6" t="inlineStr">
        <is>
          <t>BOOLEAN</t>
        </is>
      </c>
      <c r="C62" s="6" t="inlineStr">
        <is>
          <t>cohort_m038_massive_goiter_v1</t>
        </is>
      </c>
      <c r="D62" s="6" t="inlineStr">
        <is>
          <t>TRUE</t>
        </is>
      </c>
      <c r="E62" s="6" t="inlineStr">
        <is>
          <t>CT goiter presence flag (descriptive)</t>
        </is>
      </c>
    </row>
    <row r="63">
      <c r="A63" s="6" t="inlineStr">
        <is>
          <t>nlp_airway_has_data</t>
        </is>
      </c>
      <c r="B63" s="6" t="inlineStr">
        <is>
          <t>BOOLEAN</t>
        </is>
      </c>
      <c r="C63" s="6" t="inlineStr">
        <is>
          <t>cohort_m038_massive_goiter_v1</t>
        </is>
      </c>
      <c r="D63" s="6" t="inlineStr">
        <is>
          <t>TRUE</t>
        </is>
      </c>
      <c r="E63" s="6" t="inlineStr">
        <is>
          <t>NLP airway pipeline coverage</t>
        </is>
      </c>
    </row>
    <row r="64">
      <c r="A64" s="6" t="inlineStr">
        <is>
          <t>nlp_airway_key_finding</t>
        </is>
      </c>
      <c r="B64" s="6" t="inlineStr">
        <is>
          <t>VARCHAR</t>
        </is>
      </c>
      <c r="C64" s="6" t="inlineStr">
        <is>
          <t>cohort_m038_massive_goiter_v1</t>
        </is>
      </c>
      <c r="D64" s="6" t="inlineStr">
        <is>
          <t>TRUE</t>
        </is>
      </c>
      <c r="E64" s="6" t="inlineStr">
        <is>
          <t>NLP airway free-text summary</t>
        </is>
      </c>
    </row>
    <row r="65">
      <c r="A65" s="6" t="inlineStr">
        <is>
          <t>histology_final</t>
        </is>
      </c>
      <c r="B65" s="6" t="inlineStr">
        <is>
          <t>VARCHAR</t>
        </is>
      </c>
      <c r="C65" s="6" t="inlineStr">
        <is>
          <t>cohort_m038_massive_goiter_v1</t>
        </is>
      </c>
      <c r="D65" s="6" t="inlineStr">
        <is>
          <t>TRUE</t>
        </is>
      </c>
      <c r="E65" s="6" t="inlineStr">
        <is>
          <t>Histology — used Table 2</t>
        </is>
      </c>
    </row>
    <row r="66">
      <c r="A66" s="6" t="inlineStr">
        <is>
          <t>is_malignant</t>
        </is>
      </c>
      <c r="B66" s="6" t="inlineStr">
        <is>
          <t>BOOLEAN</t>
        </is>
      </c>
      <c r="C66" s="6" t="inlineStr">
        <is>
          <t>cohort_m038_massive_goiter_v1</t>
        </is>
      </c>
      <c r="D66" s="6" t="inlineStr">
        <is>
          <t>TRUE</t>
        </is>
      </c>
      <c r="E66" s="6" t="inlineStr">
        <is>
          <t>Malignancy flag — used Table 1 + Table 2</t>
        </is>
      </c>
    </row>
    <row r="67">
      <c r="A67" s="6" t="inlineStr">
        <is>
          <t>op_findings_summary</t>
        </is>
      </c>
      <c r="B67" s="6" t="inlineStr">
        <is>
          <t>VARCHAR</t>
        </is>
      </c>
      <c r="C67" s="6" t="inlineStr">
        <is>
          <t>cohort_m038_massive_goiter_v1</t>
        </is>
      </c>
      <c r="D67" s="6" t="inlineStr">
        <is>
          <t>TRUE</t>
        </is>
      </c>
      <c r="E67" s="6" t="inlineStr">
        <is>
          <t>Free-text op findings</t>
        </is>
      </c>
    </row>
    <row r="68">
      <c r="A68" s="6" t="inlineStr">
        <is>
          <t>syn_isthmus_height_cm</t>
        </is>
      </c>
      <c r="B68" s="6" t="inlineStr">
        <is>
          <t>DOUBLE</t>
        </is>
      </c>
      <c r="C68" s="6" t="inlineStr">
        <is>
          <t>cohort_m038_massive_goiter_v1</t>
        </is>
      </c>
      <c r="D68" s="6" t="inlineStr">
        <is>
          <t>TRUE</t>
        </is>
      </c>
      <c r="E68" s="6" t="inlineStr">
        <is>
          <t>Synoptic isthmus dimension</t>
        </is>
      </c>
    </row>
    <row r="69">
      <c r="A69" s="6" t="inlineStr">
        <is>
          <t>syn_left_lobe_height_cm</t>
        </is>
      </c>
      <c r="B69" s="6" t="inlineStr">
        <is>
          <t>DOUBLE</t>
        </is>
      </c>
      <c r="C69" s="6" t="inlineStr">
        <is>
          <t>cohort_m038_massive_goiter_v1</t>
        </is>
      </c>
      <c r="D69" s="6" t="inlineStr">
        <is>
          <t>TRUE</t>
        </is>
      </c>
      <c r="E69" s="6" t="inlineStr">
        <is>
          <t>Synoptic L lobe dimension</t>
        </is>
      </c>
    </row>
    <row r="70">
      <c r="A70" s="6" t="inlineStr">
        <is>
          <t>syn_right_lobe_height_cm</t>
        </is>
      </c>
      <c r="B70" s="6" t="inlineStr">
        <is>
          <t>DOUBLE</t>
        </is>
      </c>
      <c r="C70" s="6" t="inlineStr">
        <is>
          <t>cohort_m038_massive_goiter_v1</t>
        </is>
      </c>
      <c r="D70" s="6" t="inlineStr">
        <is>
          <t>TRUE</t>
        </is>
      </c>
      <c r="E70" s="6" t="inlineStr">
        <is>
          <t>Synoptic R lobe dimension</t>
        </is>
      </c>
    </row>
    <row r="71">
      <c r="A71" s="6" t="inlineStr">
        <is>
          <t>bilateral_disease_flag</t>
        </is>
      </c>
      <c r="B71" s="6" t="inlineStr">
        <is>
          <t>BOOLEAN</t>
        </is>
      </c>
      <c r="C71" s="6" t="inlineStr">
        <is>
          <t>cohort_m038_massive_goiter_v1</t>
        </is>
      </c>
      <c r="D71" s="6" t="inlineStr">
        <is>
          <t>TRUE</t>
        </is>
      </c>
      <c r="E71" s="6" t="inlineStr">
        <is>
          <t>Bilaterality — used Table 1</t>
        </is>
      </c>
    </row>
    <row r="72">
      <c r="A72" s="6" t="inlineStr">
        <is>
          <t>bilateral_path_flag</t>
        </is>
      </c>
      <c r="B72" s="6" t="inlineStr">
        <is>
          <t>BOOLEAN</t>
        </is>
      </c>
      <c r="C72" s="6" t="inlineStr">
        <is>
          <t>cohort_m038_massive_goiter_v1</t>
        </is>
      </c>
      <c r="D72" s="6" t="inlineStr">
        <is>
          <t>TRUE</t>
        </is>
      </c>
      <c r="E72" s="6" t="inlineStr">
        <is>
          <t>Bilaterality (pathology only)</t>
        </is>
      </c>
    </row>
    <row r="73">
      <c r="A73" s="6" t="inlineStr">
        <is>
          <t>closest_margin_mm</t>
        </is>
      </c>
      <c r="B73" s="6" t="inlineStr">
        <is>
          <t>DOUBLE</t>
        </is>
      </c>
      <c r="C73" s="6" t="inlineStr">
        <is>
          <t>cohort_m038_massive_goiter_v1</t>
        </is>
      </c>
      <c r="D73" s="6" t="inlineStr">
        <is>
          <t>TRUE</t>
        </is>
      </c>
      <c r="E73" s="6" t="inlineStr">
        <is>
          <t>Closest pathology margin</t>
        </is>
      </c>
    </row>
    <row r="74">
      <c r="A74" s="6" t="inlineStr">
        <is>
          <t>nsqip_hospital_los_days</t>
        </is>
      </c>
      <c r="B74" s="6" t="inlineStr">
        <is>
          <t>BIGINT</t>
        </is>
      </c>
      <c r="C74" s="6" t="inlineStr">
        <is>
          <t>cohort_m038_massive_goiter_v1</t>
        </is>
      </c>
      <c r="D74" s="6" t="inlineStr">
        <is>
          <t>TRUE</t>
        </is>
      </c>
      <c r="E74" s="6" t="inlineStr">
        <is>
          <t>LOS variant (hospital)</t>
        </is>
      </c>
    </row>
    <row r="75">
      <c r="A75" s="6" t="inlineStr">
        <is>
          <t>nsqip_length_of_stay_days</t>
        </is>
      </c>
      <c r="B75" s="6" t="inlineStr">
        <is>
          <t>BIGINT</t>
        </is>
      </c>
      <c r="C75" s="6" t="inlineStr">
        <is>
          <t>cohort_m038_massive_goiter_v1</t>
        </is>
      </c>
      <c r="D75" s="6" t="inlineStr">
        <is>
          <t>TRUE</t>
        </is>
      </c>
      <c r="E75" s="6" t="inlineStr">
        <is>
          <t>LOS — used Table 3 (mean 1.26/1.07)</t>
        </is>
      </c>
    </row>
    <row r="76">
      <c r="A76" s="6" t="inlineStr">
        <is>
          <t>nsqip_surgical_los_days</t>
        </is>
      </c>
      <c r="B76" s="6" t="inlineStr">
        <is>
          <t>BIGINT</t>
        </is>
      </c>
      <c r="C76" s="6" t="inlineStr">
        <is>
          <t>cohort_m038_massive_goiter_v1</t>
        </is>
      </c>
      <c r="D76" s="6" t="inlineStr">
        <is>
          <t>TRUE</t>
        </is>
      </c>
      <c r="E76" s="6" t="inlineStr">
        <is>
          <t>LOS variant (surgical)</t>
        </is>
      </c>
    </row>
    <row r="77">
      <c r="A77" s="6" t="inlineStr">
        <is>
          <t>nsqip_admission_date</t>
        </is>
      </c>
      <c r="B77" s="6" t="inlineStr">
        <is>
          <t>DATE</t>
        </is>
      </c>
      <c r="C77" s="6" t="inlineStr">
        <is>
          <t>cohort_m038_massive_goiter_v1</t>
        </is>
      </c>
      <c r="D77" s="6" t="inlineStr">
        <is>
          <t>TRUE</t>
        </is>
      </c>
      <c r="E77" s="6" t="inlineStr">
        <is>
          <t>Admission date</t>
        </is>
      </c>
    </row>
    <row r="78">
      <c r="A78" s="6" t="inlineStr">
        <is>
          <t>nsqip_discharge_date</t>
        </is>
      </c>
      <c r="B78" s="6" t="inlineStr">
        <is>
          <t>DATE</t>
        </is>
      </c>
      <c r="C78" s="6" t="inlineStr">
        <is>
          <t>cohort_m038_massive_goiter_v1</t>
        </is>
      </c>
      <c r="D78" s="6" t="inlineStr">
        <is>
          <t>TRUE</t>
        </is>
      </c>
      <c r="E78" s="6" t="inlineStr">
        <is>
          <t>Discharge date</t>
        </is>
      </c>
    </row>
    <row r="79">
      <c r="A79" s="6" t="inlineStr">
        <is>
          <t>nsqip_discharge_destination</t>
        </is>
      </c>
      <c r="B79" s="6" t="inlineStr">
        <is>
          <t>VARCHAR</t>
        </is>
      </c>
      <c r="C79" s="6" t="inlineStr">
        <is>
          <t>cohort_m038_massive_goiter_v1</t>
        </is>
      </c>
      <c r="D79" s="6" t="inlineStr">
        <is>
          <t>TRUE</t>
        </is>
      </c>
      <c r="E79" s="6" t="inlineStr">
        <is>
          <t>Discharge destination</t>
        </is>
      </c>
    </row>
    <row r="80">
      <c r="A80" s="6" t="inlineStr">
        <is>
          <t>any_confirmed_complication_flag</t>
        </is>
      </c>
      <c r="B80" s="6" t="inlineStr">
        <is>
          <t>BOOLEAN</t>
        </is>
      </c>
      <c r="C80" s="6" t="inlineStr">
        <is>
          <t>cohort_m038_massive_goiter_v1</t>
        </is>
      </c>
      <c r="D80" s="6" t="inlineStr">
        <is>
          <t>TRUE</t>
        </is>
      </c>
      <c r="E80" s="6" t="inlineStr">
        <is>
          <t>Strict any-comp rollup — used Table 4 (mig_252)</t>
        </is>
      </c>
    </row>
    <row r="81">
      <c r="A81" s="6" t="inlineStr">
        <is>
          <t>comp_hematoma_confirmed</t>
        </is>
      </c>
      <c r="B81" s="6" t="inlineStr">
        <is>
          <t>BOOLEAN</t>
        </is>
      </c>
      <c r="C81" s="6" t="inlineStr">
        <is>
          <t>cohort_m038_massive_goiter_v1</t>
        </is>
      </c>
      <c r="D81" s="6" t="inlineStr">
        <is>
          <t>TRUE</t>
        </is>
      </c>
      <c r="E81" s="6" t="inlineStr">
        <is>
          <t>Strict hematoma — used Table 4</t>
        </is>
      </c>
    </row>
    <row r="82">
      <c r="A82" s="6" t="inlineStr">
        <is>
          <t>comp_rln_injury_confirmed</t>
        </is>
      </c>
      <c r="B82" s="6" t="inlineStr">
        <is>
          <t>BOOLEAN</t>
        </is>
      </c>
      <c r="C82" s="6" t="inlineStr">
        <is>
          <t>cohort_m038_massive_goiter_v1</t>
        </is>
      </c>
      <c r="D82" s="6" t="inlineStr">
        <is>
          <t>TRUE</t>
        </is>
      </c>
      <c r="E82" s="6" t="inlineStr">
        <is>
          <t>Strict RLN injury — used Table 4</t>
        </is>
      </c>
    </row>
    <row r="83">
      <c r="A83" s="6" t="inlineStr">
        <is>
          <t>comp_seroma_confirmed</t>
        </is>
      </c>
      <c r="B83" s="6" t="inlineStr">
        <is>
          <t>BOOLEAN</t>
        </is>
      </c>
      <c r="C83" s="6" t="inlineStr">
        <is>
          <t>cohort_m038_massive_goiter_v1</t>
        </is>
      </c>
      <c r="D83" s="6" t="inlineStr">
        <is>
          <t>TRUE</t>
        </is>
      </c>
      <c r="E83" s="6" t="inlineStr">
        <is>
          <t>Strict seroma — used Table 4</t>
        </is>
      </c>
    </row>
    <row r="84">
      <c r="A84" s="6" t="inlineStr">
        <is>
          <t>comp_chyle_leak_confirmed</t>
        </is>
      </c>
      <c r="B84" s="6" t="inlineStr">
        <is>
          <t>BOOLEAN</t>
        </is>
      </c>
      <c r="C84" s="6" t="inlineStr">
        <is>
          <t>cohort_m038_massive_goiter_v1</t>
        </is>
      </c>
      <c r="D84" s="6" t="inlineStr">
        <is>
          <t>TRUE</t>
        </is>
      </c>
      <c r="E84" s="6" t="inlineStr">
        <is>
          <t>Strict chyle leak — used Table 4</t>
        </is>
      </c>
    </row>
    <row r="85">
      <c r="A85" s="6" t="inlineStr">
        <is>
          <t>comp_vc_paresis_confirmed</t>
        </is>
      </c>
      <c r="B85" s="6" t="inlineStr">
        <is>
          <t>BOOLEAN</t>
        </is>
      </c>
      <c r="C85" s="6" t="inlineStr">
        <is>
          <t>cohort_m038_massive_goiter_v1</t>
        </is>
      </c>
      <c r="D85" s="6" t="inlineStr">
        <is>
          <t>TRUE</t>
        </is>
      </c>
      <c r="E85" s="6" t="inlineStr">
        <is>
          <t>Strict VC paresis — used Table 4</t>
        </is>
      </c>
    </row>
    <row r="86">
      <c r="A86" s="6" t="inlineStr">
        <is>
          <t>comp_vc_paresis_permanent</t>
        </is>
      </c>
      <c r="B86" s="6" t="inlineStr">
        <is>
          <t>BOOLEAN</t>
        </is>
      </c>
      <c r="C86" s="6" t="inlineStr">
        <is>
          <t>cohort_m038_massive_goiter_v1</t>
        </is>
      </c>
      <c r="D86" s="6" t="inlineStr">
        <is>
          <t>TRUE</t>
        </is>
      </c>
      <c r="E86" s="6" t="inlineStr">
        <is>
          <t>VC paresis (permanent)</t>
        </is>
      </c>
    </row>
    <row r="87">
      <c r="A87" s="6" t="inlineStr">
        <is>
          <t>comp_vc_paralysis_confirmed</t>
        </is>
      </c>
      <c r="B87" s="6" t="inlineStr">
        <is>
          <t>BOOLEAN</t>
        </is>
      </c>
      <c r="C87" s="6" t="inlineStr">
        <is>
          <t>cohort_m038_massive_goiter_v1</t>
        </is>
      </c>
      <c r="D87" s="6" t="inlineStr">
        <is>
          <t>TRUE</t>
        </is>
      </c>
      <c r="E87" s="6" t="inlineStr">
        <is>
          <t>Strict VC paralysis — used Table 4</t>
        </is>
      </c>
    </row>
    <row r="88">
      <c r="A88" s="6" t="inlineStr">
        <is>
          <t>comp_vc_paralysis_permanent</t>
        </is>
      </c>
      <c r="B88" s="6" t="inlineStr">
        <is>
          <t>BOOLEAN</t>
        </is>
      </c>
      <c r="C88" s="6" t="inlineStr">
        <is>
          <t>cohort_m038_massive_goiter_v1</t>
        </is>
      </c>
      <c r="D88" s="6" t="inlineStr">
        <is>
          <t>TRUE</t>
        </is>
      </c>
      <c r="E88" s="6" t="inlineStr">
        <is>
          <t>VC paralysis (permanent)</t>
        </is>
      </c>
    </row>
    <row r="89">
      <c r="A89" s="6" t="inlineStr">
        <is>
          <t>comp_hypocalcemia_confirmed</t>
        </is>
      </c>
      <c r="B89" s="6" t="inlineStr">
        <is>
          <t>BOOLEAN</t>
        </is>
      </c>
      <c r="C89" s="6" t="inlineStr">
        <is>
          <t>cohort_m038_massive_goiter_v1</t>
        </is>
      </c>
      <c r="D89" s="6" t="inlineStr">
        <is>
          <t>TRUE</t>
        </is>
      </c>
      <c r="E89" s="6" t="inlineStr">
        <is>
          <t>Strict hypocalcemia — used Table 4</t>
        </is>
      </c>
    </row>
    <row r="90">
      <c r="A90" s="6" t="inlineStr">
        <is>
          <t>comp_hypocalcemia_permanent</t>
        </is>
      </c>
      <c r="B90" s="6" t="inlineStr">
        <is>
          <t>BOOLEAN</t>
        </is>
      </c>
      <c r="C90" s="6" t="inlineStr">
        <is>
          <t>cohort_m038_massive_goiter_v1</t>
        </is>
      </c>
      <c r="D90" s="6" t="inlineStr">
        <is>
          <t>TRUE</t>
        </is>
      </c>
      <c r="E90" s="6" t="inlineStr">
        <is>
          <t>Hypocalcemia (permanent)</t>
        </is>
      </c>
    </row>
    <row r="91">
      <c r="A91" s="6" t="inlineStr">
        <is>
          <t>comp_hypoparathyroidism_confirmed</t>
        </is>
      </c>
      <c r="B91" s="6" t="inlineStr">
        <is>
          <t>BOOLEAN</t>
        </is>
      </c>
      <c r="C91" s="6" t="inlineStr">
        <is>
          <t>cohort_m038_massive_goiter_v1</t>
        </is>
      </c>
      <c r="D91" s="6" t="inlineStr">
        <is>
          <t>TRUE</t>
        </is>
      </c>
      <c r="E91" s="6" t="inlineStr">
        <is>
          <t>Strict hypoparathyroidism — used Table 4</t>
        </is>
      </c>
    </row>
    <row r="92">
      <c r="A92" s="6" t="inlineStr">
        <is>
          <t>comp_hypoparathyroidism_permanent</t>
        </is>
      </c>
      <c r="B92" s="6" t="inlineStr">
        <is>
          <t>BOOLEAN</t>
        </is>
      </c>
      <c r="C92" s="6" t="inlineStr">
        <is>
          <t>cohort_m038_massive_goiter_v1</t>
        </is>
      </c>
      <c r="D92" s="6" t="inlineStr">
        <is>
          <t>TRUE</t>
        </is>
      </c>
      <c r="E92" s="6" t="inlineStr">
        <is>
          <t>Hypopara (permanent)</t>
        </is>
      </c>
    </row>
    <row r="93">
      <c r="A93" s="6" t="inlineStr">
        <is>
          <t>comp_airway_complication_definitive</t>
        </is>
      </c>
      <c r="B93" s="6" t="inlineStr">
        <is>
          <t>BOOLEAN</t>
        </is>
      </c>
      <c r="C93" s="6" t="inlineStr">
        <is>
          <t>cohort_m038_massive_goiter_v1</t>
        </is>
      </c>
      <c r="D93" s="6" t="inlineStr">
        <is>
          <t>TRUE</t>
        </is>
      </c>
      <c r="E93" s="6" t="inlineStr">
        <is>
          <t>Airway complication (definitive)</t>
        </is>
      </c>
    </row>
    <row r="94">
      <c r="A94" s="6" t="inlineStr">
        <is>
          <t>comp_pneumothorax_definitive</t>
        </is>
      </c>
      <c r="B94" s="6" t="inlineStr">
        <is>
          <t>BOOLEAN</t>
        </is>
      </c>
      <c r="C94" s="6" t="inlineStr">
        <is>
          <t>cohort_m038_massive_goiter_v1</t>
        </is>
      </c>
      <c r="D94" s="6" t="inlineStr">
        <is>
          <t>TRUE</t>
        </is>
      </c>
      <c r="E94" s="6" t="inlineStr">
        <is>
          <t>Pneumothorax (definitive)</t>
        </is>
      </c>
    </row>
    <row r="95">
      <c r="A95" s="6" t="inlineStr">
        <is>
          <t>comp_mortality_definitive</t>
        </is>
      </c>
      <c r="B95" s="6" t="inlineStr">
        <is>
          <t>BOOLEAN</t>
        </is>
      </c>
      <c r="C95" s="6" t="inlineStr">
        <is>
          <t>cohort_m038_massive_goiter_v1</t>
        </is>
      </c>
      <c r="D95" s="6" t="inlineStr">
        <is>
          <t>TRUE</t>
        </is>
      </c>
      <c r="E95" s="6" t="inlineStr">
        <is>
          <t>Mortality (definitive)</t>
        </is>
      </c>
    </row>
    <row r="96">
      <c r="A96" s="6" t="inlineStr">
        <is>
          <t>nsqip_transfusion</t>
        </is>
      </c>
      <c r="B96" s="6" t="inlineStr">
        <is>
          <t>BIGINT</t>
        </is>
      </c>
      <c r="C96" s="6" t="inlineStr">
        <is>
          <t>cohort_m038_massive_goiter_v1</t>
        </is>
      </c>
      <c r="D96" s="6" t="inlineStr">
        <is>
          <t>TRUE</t>
        </is>
      </c>
      <c r="E96" s="6" t="inlineStr">
        <is>
          <t>Transfusion units — used Table 3</t>
        </is>
      </c>
    </row>
    <row r="97">
      <c r="A97" s="6" t="inlineStr">
        <is>
          <t>nsqip_neck_hematoma</t>
        </is>
      </c>
      <c r="B97" s="6" t="inlineStr">
        <is>
          <t>VARCHAR</t>
        </is>
      </c>
      <c r="C97" s="6" t="inlineStr">
        <is>
          <t>cohort_m038_massive_goiter_v1</t>
        </is>
      </c>
      <c r="D97" s="6" t="inlineStr">
        <is>
          <t>TRUE</t>
        </is>
      </c>
      <c r="E97" s="6" t="inlineStr">
        <is>
          <t>NSQIP hematoma flag (string)</t>
        </is>
      </c>
    </row>
    <row r="98">
      <c r="A98" s="6" t="inlineStr">
        <is>
          <t>nsqip_hematoma_flag</t>
        </is>
      </c>
      <c r="B98" s="6" t="inlineStr">
        <is>
          <t>DOUBLE</t>
        </is>
      </c>
      <c r="C98" s="6" t="inlineStr">
        <is>
          <t>cohort_m038_massive_goiter_v1</t>
        </is>
      </c>
      <c r="D98" s="6" t="inlineStr">
        <is>
          <t>TRUE</t>
        </is>
      </c>
      <c r="E98" s="6" t="inlineStr">
        <is>
          <t>NSQIP hematoma flag (numeric)</t>
        </is>
      </c>
    </row>
    <row r="99">
      <c r="A99" s="6" t="inlineStr">
        <is>
          <t>nsqip_rln_injury_flag</t>
        </is>
      </c>
      <c r="B99" s="6" t="inlineStr">
        <is>
          <t>DOUBLE</t>
        </is>
      </c>
      <c r="C99" s="6" t="inlineStr">
        <is>
          <t>cohort_m038_massive_goiter_v1</t>
        </is>
      </c>
      <c r="D99" s="6" t="inlineStr">
        <is>
          <t>TRUE</t>
        </is>
      </c>
      <c r="E99" s="6" t="inlineStr">
        <is>
          <t>NSQIP RLN injury flag</t>
        </is>
      </c>
    </row>
    <row r="100">
      <c r="A100" s="6" t="inlineStr">
        <is>
          <t>nsqip_hypocalcemia_flag</t>
        </is>
      </c>
      <c r="B100" s="6" t="inlineStr">
        <is>
          <t>DOUBLE</t>
        </is>
      </c>
      <c r="C100" s="6" t="inlineStr">
        <is>
          <t>cohort_m038_massive_goiter_v1</t>
        </is>
      </c>
      <c r="D100" s="6" t="inlineStr">
        <is>
          <t>TRUE</t>
        </is>
      </c>
      <c r="E100" s="6" t="inlineStr">
        <is>
          <t>NSQIP hypocalcemia flag</t>
        </is>
      </c>
    </row>
    <row r="101">
      <c r="A101" s="6" t="inlineStr">
        <is>
          <t>nsqip_unplanned_intubation</t>
        </is>
      </c>
      <c r="B101" s="6" t="inlineStr">
        <is>
          <t>BIGINT</t>
        </is>
      </c>
      <c r="C101" s="6" t="inlineStr">
        <is>
          <t>cohort_m038_massive_goiter_v1</t>
        </is>
      </c>
      <c r="D101" s="6" t="inlineStr">
        <is>
          <t>TRUE</t>
        </is>
      </c>
      <c r="E101" s="6" t="inlineStr">
        <is>
          <t>Unplanned reintubation — used Table 3</t>
        </is>
      </c>
    </row>
    <row r="102">
      <c r="A102" s="6" t="inlineStr">
        <is>
          <t>nsqip_unplanned_return_or</t>
        </is>
      </c>
      <c r="B102" s="6" t="inlineStr">
        <is>
          <t>DOUBLE</t>
        </is>
      </c>
      <c r="C102" s="6" t="inlineStr">
        <is>
          <t>cohort_m038_massive_goiter_v1</t>
        </is>
      </c>
      <c r="D102" s="6" t="inlineStr">
        <is>
          <t>TRUE</t>
        </is>
      </c>
      <c r="E102" s="6" t="inlineStr">
        <is>
          <t>Unplanned return to OR</t>
        </is>
      </c>
    </row>
    <row r="103">
      <c r="A103" s="6" t="inlineStr">
        <is>
          <t>nsqip_readmission_30d_flag</t>
        </is>
      </c>
      <c r="B103" s="6" t="inlineStr">
        <is>
          <t>BIGINT</t>
        </is>
      </c>
      <c r="C103" s="6" t="inlineStr">
        <is>
          <t>cohort_m038_massive_goiter_v1</t>
        </is>
      </c>
      <c r="D103" s="6" t="inlineStr">
        <is>
          <t>TRUE</t>
        </is>
      </c>
      <c r="E103" s="6" t="inlineStr">
        <is>
          <t>30-day readmission — used Table 3</t>
        </is>
      </c>
    </row>
    <row r="104">
      <c r="A104" s="6" t="inlineStr">
        <is>
          <t>nsqip_readmission_count</t>
        </is>
      </c>
      <c r="B104" s="6" t="inlineStr">
        <is>
          <t>BIGINT</t>
        </is>
      </c>
      <c r="C104" s="6" t="inlineStr">
        <is>
          <t>cohort_m038_massive_goiter_v1</t>
        </is>
      </c>
      <c r="D104" s="6" t="inlineStr">
        <is>
          <t>TRUE</t>
        </is>
      </c>
      <c r="E104" s="6" t="inlineStr">
        <is>
          <t>Readmission count</t>
        </is>
      </c>
    </row>
    <row r="105">
      <c r="A105" s="6" t="inlineStr">
        <is>
          <t>nsqip_death_30d</t>
        </is>
      </c>
      <c r="B105" s="6" t="inlineStr">
        <is>
          <t>VARCHAR</t>
        </is>
      </c>
      <c r="C105" s="6" t="inlineStr">
        <is>
          <t>cohort_m038_massive_goiter_v1</t>
        </is>
      </c>
      <c r="D105" s="6" t="inlineStr">
        <is>
          <t>TRUE</t>
        </is>
      </c>
      <c r="E105" s="6" t="inlineStr">
        <is>
          <t>30-day mortality (NSQIP)</t>
        </is>
      </c>
    </row>
    <row r="106">
      <c r="A106" s="6" t="inlineStr">
        <is>
          <t>nsqip_pneumonia</t>
        </is>
      </c>
      <c r="B106" s="6" t="inlineStr">
        <is>
          <t>BIGINT</t>
        </is>
      </c>
      <c r="C106" s="6" t="inlineStr">
        <is>
          <t>cohort_m038_massive_goiter_v1</t>
        </is>
      </c>
      <c r="D106" s="6" t="inlineStr">
        <is>
          <t>TRUE</t>
        </is>
      </c>
      <c r="E106" s="6" t="inlineStr">
        <is>
          <t>Pneumonia (NSQIP)</t>
        </is>
      </c>
    </row>
    <row r="107">
      <c r="A107" s="6" t="inlineStr">
        <is>
          <t>nsqip_dvt</t>
        </is>
      </c>
      <c r="B107" s="6" t="inlineStr">
        <is>
          <t>BIGINT</t>
        </is>
      </c>
      <c r="C107" s="6" t="inlineStr">
        <is>
          <t>cohort_m038_massive_goiter_v1</t>
        </is>
      </c>
      <c r="D107" s="6" t="inlineStr">
        <is>
          <t>TRUE</t>
        </is>
      </c>
      <c r="E107" s="6" t="inlineStr">
        <is>
          <t>DVT (NSQIP)</t>
        </is>
      </c>
    </row>
    <row r="108">
      <c r="A108" s="6" t="inlineStr">
        <is>
          <t>nsqip_pe</t>
        </is>
      </c>
      <c r="B108" s="6" t="inlineStr">
        <is>
          <t>BIGINT</t>
        </is>
      </c>
      <c r="C108" s="6" t="inlineStr">
        <is>
          <t>cohort_m038_massive_goiter_v1</t>
        </is>
      </c>
      <c r="D108" s="6" t="inlineStr">
        <is>
          <t>TRUE</t>
        </is>
      </c>
      <c r="E108" s="6" t="inlineStr">
        <is>
          <t>PE (NSQIP)</t>
        </is>
      </c>
    </row>
    <row r="109">
      <c r="A109" s="6" t="inlineStr">
        <is>
          <t>nsqip_sepsis</t>
        </is>
      </c>
      <c r="B109" s="6" t="inlineStr">
        <is>
          <t>BIGINT</t>
        </is>
      </c>
      <c r="C109" s="6" t="inlineStr">
        <is>
          <t>cohort_m038_massive_goiter_v1</t>
        </is>
      </c>
      <c r="D109" s="6" t="inlineStr">
        <is>
          <t>TRUE</t>
        </is>
      </c>
      <c r="E109" s="6" t="inlineStr">
        <is>
          <t>Sepsis (NSQIP)</t>
        </is>
      </c>
    </row>
    <row r="110">
      <c r="A110" s="6" t="inlineStr">
        <is>
          <t>nsqip_superficial_ssi</t>
        </is>
      </c>
      <c r="B110" s="6" t="inlineStr">
        <is>
          <t>BIGINT</t>
        </is>
      </c>
      <c r="C110" s="6" t="inlineStr">
        <is>
          <t>cohort_m038_massive_goiter_v1</t>
        </is>
      </c>
      <c r="D110" s="6" t="inlineStr">
        <is>
          <t>TRUE</t>
        </is>
      </c>
      <c r="E110" s="6" t="inlineStr">
        <is>
          <t>Superficial SSI</t>
        </is>
      </c>
    </row>
    <row r="111">
      <c r="A111" s="6" t="inlineStr">
        <is>
          <t>nsqip_deep_ssi</t>
        </is>
      </c>
      <c r="B111" s="6" t="inlineStr">
        <is>
          <t>BIGINT</t>
        </is>
      </c>
      <c r="C111" s="6" t="inlineStr">
        <is>
          <t>cohort_m038_massive_goiter_v1</t>
        </is>
      </c>
      <c r="D111" s="6" t="inlineStr">
        <is>
          <t>TRUE</t>
        </is>
      </c>
      <c r="E111" s="6" t="inlineStr">
        <is>
          <t>Deep SSI</t>
        </is>
      </c>
    </row>
    <row r="112">
      <c r="A112" s="6" t="inlineStr">
        <is>
          <t>nsqip_organ_space_ssi</t>
        </is>
      </c>
      <c r="B112" s="6" t="inlineStr">
        <is>
          <t>BIGINT</t>
        </is>
      </c>
      <c r="C112" s="6" t="inlineStr">
        <is>
          <t>cohort_m038_massive_goiter_v1</t>
        </is>
      </c>
      <c r="D112" s="6" t="inlineStr">
        <is>
          <t>TRUE</t>
        </is>
      </c>
      <c r="E112" s="6" t="inlineStr">
        <is>
          <t>Organ-space SSI</t>
        </is>
      </c>
    </row>
    <row r="113">
      <c r="A113" s="6" t="inlineStr">
        <is>
          <t>proc_nlp_tracheostomy</t>
        </is>
      </c>
      <c r="B113" s="6" t="inlineStr">
        <is>
          <t>BOOLEAN</t>
        </is>
      </c>
      <c r="C113" s="6" t="inlineStr">
        <is>
          <t>cohort_m038_massive_goiter_v1</t>
        </is>
      </c>
      <c r="D113" s="6" t="inlineStr">
        <is>
          <t>TRUE</t>
        </is>
      </c>
      <c r="E113" s="6" t="inlineStr">
        <is>
          <t>Trach (NLP) — used Table 3</t>
        </is>
      </c>
    </row>
    <row r="114">
      <c r="A114" s="6" t="inlineStr">
        <is>
          <t>proc_nlp_tracheostomy_date</t>
        </is>
      </c>
      <c r="B114" s="6" t="inlineStr">
        <is>
          <t>DATE</t>
        </is>
      </c>
      <c r="C114" s="6" t="inlineStr">
        <is>
          <t>cohort_m038_massive_goiter_v1</t>
        </is>
      </c>
      <c r="D114" s="6" t="inlineStr">
        <is>
          <t>TRUE</t>
        </is>
      </c>
      <c r="E114" s="6" t="inlineStr">
        <is>
          <t>Trach date (NLP)</t>
        </is>
      </c>
    </row>
    <row r="115">
      <c r="A115" s="6" t="inlineStr">
        <is>
          <t>proc_nlp_tracheostomy_days_from_surg</t>
        </is>
      </c>
      <c r="B115" s="6" t="inlineStr">
        <is>
          <t>INTEGER</t>
        </is>
      </c>
      <c r="C115" s="6" t="inlineStr">
        <is>
          <t>cohort_m038_massive_goiter_v1</t>
        </is>
      </c>
      <c r="D115" s="6" t="inlineStr">
        <is>
          <t>TRUE</t>
        </is>
      </c>
      <c r="E115" s="6" t="inlineStr">
        <is>
          <t>Trach timing (NLP)</t>
        </is>
      </c>
    </row>
    <row r="116">
      <c r="A116" s="6" t="inlineStr">
        <is>
          <t>proc_nlp_tracheostomy_n_mentions</t>
        </is>
      </c>
      <c r="B116" s="6" t="inlineStr">
        <is>
          <t>BIGINT</t>
        </is>
      </c>
      <c r="C116" s="6" t="inlineStr">
        <is>
          <t>cohort_m038_massive_goiter_v1</t>
        </is>
      </c>
      <c r="D116" s="6" t="inlineStr">
        <is>
          <t>TRUE</t>
        </is>
      </c>
      <c r="E116" s="6" t="inlineStr">
        <is>
          <t>Trach mention count (NLP)</t>
        </is>
      </c>
    </row>
    <row r="117">
      <c r="A117" s="6" t="inlineStr">
        <is>
          <t>any_recurrence_flag</t>
        </is>
      </c>
      <c r="B117" s="6" t="inlineStr">
        <is>
          <t>BOOLEAN</t>
        </is>
      </c>
      <c r="C117" s="6" t="inlineStr">
        <is>
          <t>cohort_m038_massive_goiter_v1</t>
        </is>
      </c>
      <c r="D117" s="6" t="inlineStr">
        <is>
          <t>TRUE</t>
        </is>
      </c>
      <c r="E117" s="6" t="inlineStr">
        <is>
          <t>Recurrence flag (descriptive)</t>
        </is>
      </c>
    </row>
    <row r="118">
      <c r="A118" s="6" t="inlineStr">
        <is>
          <t>biochemical_recurrence_flag</t>
        </is>
      </c>
      <c r="B118" s="6" t="inlineStr">
        <is>
          <t>BOOLEAN</t>
        </is>
      </c>
      <c r="C118" s="6" t="inlineStr">
        <is>
          <t>cohort_m038_massive_goiter_v1</t>
        </is>
      </c>
      <c r="D118" s="6" t="inlineStr">
        <is>
          <t>TRUE</t>
        </is>
      </c>
      <c r="E118" s="6" t="inlineStr">
        <is>
          <t>Biochemical recurrence flag</t>
        </is>
      </c>
    </row>
    <row r="119">
      <c r="A119" s="6" t="inlineStr">
        <is>
          <t>followup_years</t>
        </is>
      </c>
      <c r="B119" s="6" t="inlineStr">
        <is>
          <t>DOUBLE</t>
        </is>
      </c>
      <c r="C119" s="6" t="inlineStr">
        <is>
          <t>cohort_m038_massive_goiter_v1</t>
        </is>
      </c>
      <c r="D119" s="6" t="inlineStr">
        <is>
          <t>TRUE</t>
        </is>
      </c>
      <c r="E119" s="6" t="inlineStr">
        <is>
          <t>Follow-up duration — used Table 1 + §3.5</t>
        </is>
      </c>
    </row>
    <row r="120">
      <c r="A120" s="6" t="inlineStr">
        <is>
          <t>death_occurred</t>
        </is>
      </c>
      <c r="B120" s="6" t="inlineStr">
        <is>
          <t>BOOLEAN</t>
        </is>
      </c>
      <c r="C120" s="6" t="inlineStr">
        <is>
          <t>cohort_m038_massive_goiter_v1</t>
        </is>
      </c>
      <c r="D120" s="6" t="inlineStr">
        <is>
          <t>TRUE</t>
        </is>
      </c>
      <c r="E120" s="6" t="inlineStr">
        <is>
          <t>All-cause mortality — used Table 4</t>
        </is>
      </c>
    </row>
    <row r="121">
      <c r="A121" s="6" t="inlineStr">
        <is>
          <t>(per-event TSH/Tg/PTH/Ca lab time-series)</t>
        </is>
      </c>
      <c r="B121" s="6" t="inlineStr">
        <is>
          <t>—</t>
        </is>
      </c>
      <c r="C121" s="6" t="inlineStr">
        <is>
          <t>—</t>
        </is>
      </c>
      <c r="D121" s="6" t="inlineStr">
        <is>
          <t>FALSE</t>
        </is>
      </c>
      <c r="E121" s="6" t="inlineStr">
        <is>
          <t>Reserved for M039 PTH/Calcium substudy</t>
        </is>
      </c>
    </row>
    <row r="122">
      <c r="A122" s="6" t="inlineStr">
        <is>
          <t>(per-nodule ultrasound features)</t>
        </is>
      </c>
      <c r="B122" s="6" t="inlineStr">
        <is>
          <t>—</t>
        </is>
      </c>
      <c r="C122" s="6" t="inlineStr">
        <is>
          <t>—</t>
        </is>
      </c>
      <c r="D122" s="6" t="inlineStr">
        <is>
          <t>FALSE</t>
        </is>
      </c>
      <c r="E122" s="6" t="inlineStr">
        <is>
          <t>Reserved for M037/M043/M025</t>
        </is>
      </c>
    </row>
    <row r="123">
      <c r="A123" s="6" t="inlineStr">
        <is>
          <t>(operative-narrative free-text beyond op_findings_summary)</t>
        </is>
      </c>
      <c r="B123" s="6" t="inlineStr">
        <is>
          <t>—</t>
        </is>
      </c>
      <c r="C123" s="6" t="inlineStr">
        <is>
          <t>—</t>
        </is>
      </c>
      <c r="D123" s="6" t="inlineStr">
        <is>
          <t>FALSE</t>
        </is>
      </c>
      <c r="E123" s="6" t="inlineStr">
        <is>
          <t>Reserved for M038-B if airway-support detail required</t>
        </is>
      </c>
    </row>
    <row r="124">
      <c r="A124" s="6" t="inlineStr">
        <is>
          <t>(insurance / payer / facility / surgeon-volume)</t>
        </is>
      </c>
      <c r="B124" s="6" t="inlineStr">
        <is>
          <t>—</t>
        </is>
      </c>
      <c r="C124" s="6" t="inlineStr">
        <is>
          <t>—</t>
        </is>
      </c>
      <c r="D124" s="6" t="inlineStr">
        <is>
          <t>FALSE</t>
        </is>
      </c>
      <c r="E124" s="6" t="inlineStr">
        <is>
          <t>Not surfaced on canonical_patient_master</t>
        </is>
      </c>
    </row>
    <row r="125">
      <c r="A125" s="6" t="inlineStr">
        <is>
          <t>(Charlson / Elixhauser composite indices)</t>
        </is>
      </c>
      <c r="B125" s="6" t="inlineStr">
        <is>
          <t>—</t>
        </is>
      </c>
      <c r="C125" s="6" t="inlineStr">
        <is>
          <t>—</t>
        </is>
      </c>
      <c r="D125" s="6" t="inlineStr">
        <is>
          <t>FALSE</t>
        </is>
      </c>
      <c r="E125" s="6" t="inlineStr">
        <is>
          <t>Not currently materialized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4" t="inlineStr">
        <is>
          <t>Reproducibility anchors: release ID, signoff registry, gate health, upstream Cursor commit SHAs, Cowork commit SHAs, and migration acceptance summary.</t>
        </is>
      </c>
    </row>
    <row r="3">
      <c r="A3" s="5" t="inlineStr">
        <is>
          <t>Anchor</t>
        </is>
      </c>
      <c r="B3" s="5" t="inlineStr">
        <is>
          <t>Value</t>
        </is>
      </c>
    </row>
    <row r="4">
      <c r="A4" s="6" t="inlineStr">
        <is>
          <t>Database</t>
        </is>
      </c>
      <c r="B4" s="6" t="inlineStr">
        <is>
          <t>thyroid_canonical_publication_v1_0 (MotherDuck)</t>
        </is>
      </c>
    </row>
    <row r="5">
      <c r="A5" s="6" t="inlineStr">
        <is>
          <t>release_id</t>
        </is>
      </c>
      <c r="B5" s="6" t="inlineStr">
        <is>
          <t>pub_v1_0_20260430</t>
        </is>
      </c>
    </row>
    <row r="6">
      <c r="A6" s="6" t="inlineStr">
        <is>
          <t>Cohort view</t>
        </is>
      </c>
      <c r="B6" s="6" t="inlineStr">
        <is>
          <t>manuscript_workspace.cohort_m038_massive_goiter_v1 (~117 cols, post-mig_251)</t>
        </is>
      </c>
    </row>
    <row r="7">
      <c r="A7" s="6" t="inlineStr">
        <is>
          <t>Most-recent applied migration</t>
        </is>
      </c>
      <c r="B7" s="6" t="inlineStr">
        <is>
          <t>qc_framework_v1/migrations/253_surg_procedure_type_fill_20260501.sql</t>
        </is>
      </c>
    </row>
    <row r="8">
      <c r="A8" s="6" t="inlineStr">
        <is>
          <t>Most-recent signoff timestamp (UTC)</t>
        </is>
      </c>
      <c r="B8" s="6" t="inlineStr">
        <is>
          <t>2026-05-01 06:41:00.220673</t>
        </is>
      </c>
    </row>
    <row r="9">
      <c r="A9" s="6" t="inlineStr">
        <is>
          <t>Publication QC status built at (UTC)</t>
        </is>
      </c>
      <c r="B9" s="6" t="inlineStr">
        <is>
          <t>2026-05-01 12:02:24.524627</t>
        </is>
      </c>
    </row>
    <row r="10">
      <c r="A10" s="6" t="inlineStr"/>
      <c r="B10" s="6" t="inlineStr"/>
    </row>
    <row r="11">
      <c r="A11" s="6">
        <f>== Gate health (all PASS at audit) ===</f>
        <v/>
      </c>
      <c r="B11" s="6" t="inlineStr"/>
    </row>
    <row r="12">
      <c r="A12" s="6" t="inlineStr">
        <is>
          <t>gate1_verified_tables</t>
        </is>
      </c>
      <c r="B12" s="6" t="inlineStr">
        <is>
          <t>218</t>
        </is>
      </c>
    </row>
    <row r="13">
      <c r="A13" s="6" t="inlineStr">
        <is>
          <t>gate1_distinct_objects</t>
        </is>
      </c>
      <c r="B13" s="6" t="inlineStr">
        <is>
          <t>218</t>
        </is>
      </c>
    </row>
    <row r="14">
      <c r="A14" s="6" t="inlineStr">
        <is>
          <t>gate2_missing_signoff</t>
        </is>
      </c>
      <c r="B14" s="6" t="inlineStr">
        <is>
          <t>0</t>
        </is>
      </c>
    </row>
    <row r="15">
      <c r="A15" s="6" t="inlineStr">
        <is>
          <t>gate3_count_mismatch</t>
        </is>
      </c>
      <c r="B15" s="6" t="inlineStr">
        <is>
          <t>0</t>
        </is>
      </c>
    </row>
    <row r="16">
      <c r="A16" s="6" t="inlineStr">
        <is>
          <t>gate4_verified_cols_missing_metadata</t>
        </is>
      </c>
      <c r="B16" s="6" t="inlineStr">
        <is>
          <t>0</t>
        </is>
      </c>
    </row>
    <row r="17">
      <c r="A17" s="6" t="inlineStr">
        <is>
          <t>gate5_clinical_date_violations</t>
        </is>
      </c>
      <c r="B17" s="6" t="inlineStr">
        <is>
          <t>0</t>
        </is>
      </c>
    </row>
    <row r="18">
      <c r="A18" s="6" t="inlineStr">
        <is>
          <t>cohort_parity_ok</t>
        </is>
      </c>
      <c r="B18" s="6" t="inlineStr">
        <is>
          <t>TRUE</t>
        </is>
      </c>
    </row>
    <row r="19">
      <c r="A19" s="6" t="inlineStr">
        <is>
          <t>cpm_pts (canonical_patient_master)</t>
        </is>
      </c>
      <c r="B19" s="6" t="inlineStr">
        <is>
          <t>10,871</t>
        </is>
      </c>
    </row>
    <row r="20">
      <c r="A20" s="6" t="inlineStr">
        <is>
          <t>us_gland_v2_pts</t>
        </is>
      </c>
      <c r="B20" s="6" t="inlineStr">
        <is>
          <t>10,871</t>
        </is>
      </c>
    </row>
    <row r="21">
      <c r="A21" s="6" t="inlineStr">
        <is>
          <t>us_ln_v2_pts</t>
        </is>
      </c>
      <c r="B21" s="6" t="inlineStr">
        <is>
          <t>10,871</t>
        </is>
      </c>
    </row>
    <row r="22">
      <c r="A22" s="6" t="inlineStr"/>
      <c r="B22" s="6" t="inlineStr"/>
    </row>
    <row r="23">
      <c r="A23" s="6">
        <f>== mig_252 acceptance (comp_*_confirmed strict rollup) ===</f>
        <v/>
      </c>
      <c r="B23" s="6" t="inlineStr"/>
    </row>
    <row r="24">
      <c r="A24" s="6" t="inlineStr">
        <is>
          <t>mig_252 commit SHA</t>
        </is>
      </c>
      <c r="B24" s="6" t="inlineStr">
        <is>
          <t>32beb7b (parallel session, 2026-05-01)</t>
        </is>
      </c>
    </row>
    <row r="25">
      <c r="A25" s="6" t="inlineStr">
        <is>
          <t>any_confirmed_complication_flag (cohort)</t>
        </is>
      </c>
      <c r="B25" s="6" t="inlineStr">
        <is>
          <t>2,490 → 400 (verified)</t>
        </is>
      </c>
    </row>
    <row r="26">
      <c r="A26" s="6" t="inlineStr">
        <is>
          <t>comp_seroma_confirmed (cohort)</t>
        </is>
      </c>
      <c r="B26" s="6" t="inlineStr">
        <is>
          <t>618 → 39</t>
        </is>
      </c>
    </row>
    <row r="27">
      <c r="A27" s="6" t="inlineStr">
        <is>
          <t>comp_chyle_leak_confirmed (cohort)</t>
        </is>
      </c>
      <c r="B27" s="6" t="inlineStr">
        <is>
          <t>1,576 → 3</t>
        </is>
      </c>
    </row>
    <row r="28">
      <c r="A28" s="6" t="inlineStr">
        <is>
          <t>comp_rln_injury_confirmed (cohort)</t>
        </is>
      </c>
      <c r="B28" s="6" t="inlineStr">
        <is>
          <t>690 → 21</t>
        </is>
      </c>
    </row>
    <row r="29">
      <c r="A29" s="6" t="inlineStr">
        <is>
          <t>comp_hematoma_confirmed (cohort)</t>
        </is>
      </c>
      <c r="B29" s="6" t="inlineStr">
        <is>
          <t>250 → 68</t>
        </is>
      </c>
    </row>
    <row r="30">
      <c r="A30" s="6" t="inlineStr">
        <is>
          <t>comp_hypoparathyroidism_confirmed (cohort)</t>
        </is>
      </c>
      <c r="B30" s="6" t="inlineStr">
        <is>
          <t>406 → 296</t>
        </is>
      </c>
    </row>
    <row r="31">
      <c r="A31" s="6" t="inlineStr">
        <is>
          <t>Strict definition</t>
        </is>
      </c>
      <c r="B31" s="6" t="inlineStr">
        <is>
          <t>finding_status='present' AND evidence_strength IN ('definitive','probable')</t>
        </is>
      </c>
    </row>
    <row r="32">
      <c r="A32" s="6" t="inlineStr"/>
      <c r="B32" s="6" t="inlineStr"/>
    </row>
    <row r="33">
      <c r="A33" s="6">
        <f>== mig_253 acceptance (surg_procedure_type fill) ===</f>
        <v/>
      </c>
      <c r="B33" s="6" t="inlineStr"/>
    </row>
    <row r="34">
      <c r="A34" s="6" t="inlineStr">
        <is>
          <t>mig_253 commit SHA</t>
        </is>
      </c>
      <c r="B34" s="6" t="inlineStr">
        <is>
          <t>0143539 (parallel session, 2026-05-01)</t>
        </is>
      </c>
    </row>
    <row r="35">
      <c r="A35" s="6" t="inlineStr">
        <is>
          <t>NULL-all-three count, full CPM</t>
        </is>
      </c>
      <c r="B35" s="6" t="inlineStr">
        <is>
          <t>2,138 → 2 (target ≤50, exceeded)</t>
        </is>
      </c>
    </row>
    <row r="36">
      <c r="A36" s="6" t="inlineStr">
        <is>
          <t>NULL-all-three count, M038 ≥200g focal</t>
        </is>
      </c>
      <c r="B36" s="6" t="inlineStr">
        <is>
          <t>121 → 0</t>
        </is>
      </c>
    </row>
    <row r="37">
      <c r="A37" s="6" t="inlineStr">
        <is>
          <t>NULL-all-three count, M038 composite</t>
        </is>
      </c>
      <c r="B37" s="6" t="inlineStr">
        <is>
          <t>760 → 0</t>
        </is>
      </c>
    </row>
    <row r="38">
      <c r="A38" s="6" t="inlineStr"/>
      <c r="B38" s="6" t="inlineStr"/>
    </row>
    <row r="39">
      <c r="A39" s="6">
        <f>== Cowork commit chain ===</f>
        <v/>
      </c>
      <c r="B39" s="6" t="inlineStr"/>
    </row>
    <row r="40">
      <c r="A40" s="6" t="inlineStr">
        <is>
          <t>M038 v2 draft commit SHA</t>
        </is>
      </c>
      <c r="B40" s="6" t="inlineStr">
        <is>
          <t>4b48107 (docs(qc): v23 handoff + M038 v2 descriptive draft post-mig_252/253)</t>
        </is>
      </c>
    </row>
    <row r="41">
      <c r="A41" s="6" t="inlineStr">
        <is>
          <t>v23 handoff amend commit SHA</t>
        </is>
      </c>
      <c r="B41" s="6" t="inlineStr">
        <is>
          <t>5125a87 (docs(qc): amend v23 handoff)</t>
        </is>
      </c>
    </row>
    <row r="42">
      <c r="A42" s="6" t="inlineStr">
        <is>
          <t>This audit + Excel commit SHA</t>
        </is>
      </c>
      <c r="B42" s="6" t="inlineStr">
        <is>
          <t>b232007 (initial); follow-up commit (this update) — see git log</t>
        </is>
      </c>
    </row>
    <row r="43">
      <c r="A43" s="6" t="inlineStr"/>
      <c r="B43" s="6" t="inlineStr"/>
    </row>
    <row r="44">
      <c r="A44" s="6">
        <f>== Audit summary ===</f>
        <v/>
      </c>
      <c r="B44" s="6" t="inlineStr"/>
    </row>
    <row r="45">
      <c r="A45" s="6" t="inlineStr">
        <is>
          <t>Cells audited</t>
        </is>
      </c>
      <c r="B45" s="6" t="inlineStr">
        <is>
          <t>156</t>
        </is>
      </c>
    </row>
    <row r="46">
      <c r="A46" s="6" t="inlineStr">
        <is>
          <t>PASS</t>
        </is>
      </c>
      <c r="B46" s="6" t="inlineStr">
        <is>
          <t>153</t>
        </is>
      </c>
    </row>
    <row r="47">
      <c r="A47" s="6" t="inlineStr">
        <is>
          <t>DIFF</t>
        </is>
      </c>
      <c r="B47" s="6" t="inlineStr">
        <is>
          <t>3 (addressed in v2.1 Cursor patch — see audit doc)</t>
        </is>
      </c>
    </row>
    <row r="48">
      <c r="A48" s="6" t="inlineStr">
        <is>
          <t>FAIL</t>
        </is>
      </c>
      <c r="B48" s="6" t="inlineStr">
        <is>
          <t>0</t>
        </is>
      </c>
    </row>
    <row r="49">
      <c r="A49" s="6" t="inlineStr">
        <is>
          <t>Inclusion-exclusion sum check</t>
        </is>
      </c>
      <c r="B49" s="6" t="inlineStr">
        <is>
          <t>PASS (1,429+1,047+1,440−404−513−884+386 = 2,501)</t>
        </is>
      </c>
    </row>
    <row r="50">
      <c r="A50" s="6" t="inlineStr">
        <is>
          <t>All RR computations</t>
        </is>
      </c>
      <c r="B50" s="6" t="inlineStr">
        <is>
          <t>PASS (rounded values match within tolerance)</t>
        </is>
      </c>
    </row>
    <row r="51">
      <c r="A51" s="6" t="inlineStr">
        <is>
          <t>Strict-definition complications applied</t>
        </is>
      </c>
      <c r="B51" s="6" t="inlineStr">
        <is>
          <t>PASS</t>
        </is>
      </c>
    </row>
    <row r="52">
      <c r="A52" s="6" t="inlineStr">
        <is>
          <t>Procedure-type completeness</t>
        </is>
      </c>
      <c r="B52" s="6" t="inlineStr">
        <is>
          <t>PASS (100% massive; 99.98% non-massive)</t>
        </is>
      </c>
    </row>
    <row r="53">
      <c r="A53" s="2" t="inlineStr"/>
      <c r="B53" s="3" t="inlineStr"/>
    </row>
    <row r="54">
      <c r="A54" s="2">
        <f>== Standing rule applied 2026-05-01 (post-initial-audit) ===</f>
        <v/>
      </c>
      <c r="B54" s="3" t="inlineStr"/>
    </row>
    <row r="55">
      <c r="A55" s="2" t="inlineStr">
        <is>
          <t>Reference</t>
        </is>
      </c>
      <c r="B55" s="3" t="inlineStr">
        <is>
          <t>memory/feedback_complications_transient_vs_permanent.md</t>
        </is>
      </c>
    </row>
    <row r="56">
      <c r="A56" s="2" t="inlineStr">
        <is>
          <t>Hypoparathyroidism layout</t>
        </is>
      </c>
      <c r="B56" s="3" t="inlineStr">
        <is>
          <t>Split: postop transient (&lt;6mo) + postop permanent (&gt;6mo). M038: 83+4=87 / 197+12=209.</t>
        </is>
      </c>
    </row>
    <row r="57">
      <c r="A57" s="2" t="inlineStr">
        <is>
          <t>Hypocalcemia layout</t>
        </is>
      </c>
      <c r="B57" s="3" t="inlineStr">
        <is>
          <t>Postop confirmed + 'present preop' row (timing_window='pre_surgery'). M038 preop: 7 / 46.</t>
        </is>
      </c>
    </row>
    <row r="58">
      <c r="A58" s="2" t="inlineStr">
        <is>
          <t>RLN injury layout</t>
        </is>
      </c>
      <c r="B58" s="3" t="inlineStr">
        <is>
          <t>Postop confirmed only; preop flag awaiting CF-RLN-PREOP-FLAG.</t>
        </is>
      </c>
    </row>
    <row r="59">
      <c r="A59" s="2" t="inlineStr">
        <is>
          <t>VC paralysis layout</t>
        </is>
      </c>
      <c r="B59" s="3" t="inlineStr">
        <is>
          <t>Postop confirmed only; preop flag awaiting CF-VC-PARALYSIS-PREOP-FLAG.</t>
        </is>
      </c>
    </row>
    <row r="60">
      <c r="A60" s="2" t="inlineStr">
        <is>
          <t>Cohort-wide hypopara partition validation</t>
        </is>
      </c>
      <c r="B60" s="3" t="inlineStr">
        <is>
          <t>296 confirmed → 280 transient (94.6%) + 16 permanent (5.4%); zero unclassified.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2026-05-01T12:23:13Z</dcterms:created>
  <dcterms:modified xmlns:dcterms="http://purl.org/dc/terms/" xmlns:xsi="http://www.w3.org/2001/XMLSchema-instance" xsi:type="dcterms:W3CDTF">2026-05-01T12:41:01Z</dcterms:modified>
</cp:coreProperties>
</file>